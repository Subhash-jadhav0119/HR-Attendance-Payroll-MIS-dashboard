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6bf512400d5f13a2/Desktop/Excel Projects/HR dashboard/"/>
    </mc:Choice>
  </mc:AlternateContent>
  <xr:revisionPtr revIDLastSave="1456" documentId="13_ncr:1_{06DCD172-2231-41E7-B364-AA508C4C0F4E}" xr6:coauthVersionLast="47" xr6:coauthVersionMax="47" xr10:uidLastSave="{F974CFE7-6763-4FC1-A623-7A0CB29851D2}"/>
  <bookViews>
    <workbookView xWindow="-108" yWindow="-108" windowWidth="23256" windowHeight="12456" firstSheet="1" activeTab="1" xr2:uid="{CAC89CFA-B859-494A-B5AC-34CBFE6E311E}"/>
  </bookViews>
  <sheets>
    <sheet name="Pivot Table " sheetId="1" state="hidden" r:id="rId1"/>
    <sheet name="Dashboard" sheetId="4" r:id="rId2"/>
  </sheets>
  <definedNames>
    <definedName name="_xlnm._FilterDatabase" localSheetId="0" hidden="1">'Pivot Table '!$A$31:$B$55</definedName>
    <definedName name="_xlchart.v1.0" hidden="1">'Pivot Table '!$C$88:$C$92</definedName>
    <definedName name="_xlchart.v1.1" hidden="1">'Pivot Table '!$D$87</definedName>
    <definedName name="_xlchart.v1.2" hidden="1">'Pivot Table '!$D$88:$D$92</definedName>
    <definedName name="Slicer_Department">#N/A</definedName>
    <definedName name="Slicer_Employee_ID">#N/A</definedName>
    <definedName name="Slicer_Employee_Type">#N/A</definedName>
    <definedName name="Slicer_Location">#N/A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s>
  <extLst>
    <ext xmlns:x14="http://schemas.microsoft.com/office/spreadsheetml/2009/9/main" uri="{876F7934-8845-4945-9796-88D515C7AA90}">
      <x14:pivotCaches>
        <pivotCache cacheId="14"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_Data_3283e0bc-4957-4b6e-9dd7-c991d26498d0" name="Emp_Data" connection="Query - Emp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8" i="1" l="1" a="1"/>
  <c r="F68" i="1" s="1"/>
  <c r="E122" i="1" a="1"/>
  <c r="E122" i="1" s="1"/>
  <c r="C87" i="1" a="1"/>
  <c r="C87" i="1" s="1"/>
  <c r="A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9D66CF-1E9E-49D5-B0C1-63C103499BC1}" keepAlive="1" name="Query - Attendance_May_2025" description="Connection to the 'Attendance_May_2025' query in the workbook." type="5" refreshedVersion="0" background="1">
    <dbPr connection="Provider=Microsoft.Mashup.OleDb.1;Data Source=$Workbook$;Location=Attendance_May_2025;Extended Properties=&quot;&quot;" command="SELECT * FROM [Attendance_May_2025]"/>
  </connection>
  <connection id="2" xr16:uid="{6F8652FA-8800-49D2-9D23-6FDF28B69F5E}" name="Query - Emp_Data" description="Connection to the 'Emp_Data' query in the workbook." type="100" refreshedVersion="8" minRefreshableVersion="5">
    <extLst>
      <ext xmlns:x15="http://schemas.microsoft.com/office/spreadsheetml/2010/11/main" uri="{DE250136-89BD-433C-8126-D09CA5730AF9}">
        <x15:connection id="1b0f575c-2f2b-4db9-98a1-d696bdf95b09"/>
      </ext>
    </extLst>
  </connection>
  <connection id="3" xr16:uid="{0CCB3095-0702-4BA7-B2B6-337C5FD9DD9E}" keepAlive="1" name="Query - Employee_Attendance" description="Connection to the 'Employee_Attendance' query in the workbook." type="5" refreshedVersion="0" background="1">
    <dbPr connection="Provider=Microsoft.Mashup.OleDb.1;Data Source=$Workbook$;Location=Employee_Attendance;Extended Properties=&quot;&quot;" command="SELECT * FROM [Employee_Attendance]"/>
  </connection>
  <connection id="4" xr16:uid="{C0DB2CA8-4A76-4098-B9EC-5C8942193504}" keepAlive="1" name="Query - Employee_Master" description="Connection to the 'Employee_Master' query in the workbook." type="5" refreshedVersion="0" background="1">
    <dbPr connection="Provider=Microsoft.Mashup.OleDb.1;Data Source=$Workbook$;Location=Employee_Master;Extended Properties=&quot;&quot;" command="SELECT * FROM [Employee_Master]"/>
  </connection>
  <connection id="5" xr16:uid="{2C3AD8FA-138E-4D02-BAD9-042069139DDC}" keepAlive="1" name="Query - Payroll_May_2025" description="Connection to the 'Payroll_May_2025' query in the workbook." type="5" refreshedVersion="0" background="1">
    <dbPr connection="Provider=Microsoft.Mashup.OleDb.1;Data Source=$Workbook$;Location=Payroll_May_2025;Extended Properties=&quot;&quot;" command="SELECT * FROM [Payroll_May_2025]"/>
  </connection>
  <connection id="6" xr16:uid="{E95124A8-BD7E-478E-BC45-C4F67F8CEB7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<sst xmlns="http://schemas.openxmlformats.org/spreadsheetml/2006/main" count="86" uniqueCount="51">
  <si>
    <t>Department</t>
  </si>
  <si>
    <t>Operations</t>
  </si>
  <si>
    <t>Mumbai</t>
  </si>
  <si>
    <t>Contract</t>
  </si>
  <si>
    <t>Earned Leave</t>
  </si>
  <si>
    <t>Sales</t>
  </si>
  <si>
    <t>Thane</t>
  </si>
  <si>
    <t>Full Time</t>
  </si>
  <si>
    <t>Casual Leave</t>
  </si>
  <si>
    <t>HR</t>
  </si>
  <si>
    <t>Pune</t>
  </si>
  <si>
    <t>Navi Mumbai</t>
  </si>
  <si>
    <t>Sick Leave</t>
  </si>
  <si>
    <t>Maternity Leave</t>
  </si>
  <si>
    <t>IT</t>
  </si>
  <si>
    <t>Finance</t>
  </si>
  <si>
    <t>Other</t>
  </si>
  <si>
    <t>Distinct Count of Employee_ID</t>
  </si>
  <si>
    <t>Total Employee</t>
  </si>
  <si>
    <t>Sum of Present_Flag</t>
  </si>
  <si>
    <t>Sum of Absent_Flag</t>
  </si>
  <si>
    <t>Sum of Leave_Flag</t>
  </si>
  <si>
    <t>Total Late Days</t>
  </si>
  <si>
    <t>Total Absemt Days</t>
  </si>
  <si>
    <t>Total Present Days</t>
  </si>
  <si>
    <t>Total Leave days</t>
  </si>
  <si>
    <t xml:space="preserve">Attendence % </t>
  </si>
  <si>
    <t>Sum of Gross_Salary</t>
  </si>
  <si>
    <t xml:space="preserve"> Gross_Salary</t>
  </si>
  <si>
    <t>Sum of Net_Salary</t>
  </si>
  <si>
    <t>Net Salary</t>
  </si>
  <si>
    <t>Total  OT_Hours</t>
  </si>
  <si>
    <t>Sum of OT_Amount</t>
  </si>
  <si>
    <t>Row Labels</t>
  </si>
  <si>
    <t>Grand Total</t>
  </si>
  <si>
    <t xml:space="preserve">Department  wise Emp Analysis </t>
  </si>
  <si>
    <t xml:space="preserve">Department  wise Attendance </t>
  </si>
  <si>
    <t>Monthly Attendance Trend</t>
  </si>
  <si>
    <t xml:space="preserve">Location wise Attendance </t>
  </si>
  <si>
    <t>Employee type Analysis</t>
  </si>
  <si>
    <t>Leave Analysis</t>
  </si>
  <si>
    <t>Payroll Analysis</t>
  </si>
  <si>
    <t>Department wise Net Salary</t>
  </si>
  <si>
    <t>OT Analysis</t>
  </si>
  <si>
    <t>Total OT Amount</t>
  </si>
  <si>
    <t>Total OT Hours</t>
  </si>
  <si>
    <t xml:space="preserve">Location </t>
  </si>
  <si>
    <t xml:space="preserve">Present Days </t>
  </si>
  <si>
    <t xml:space="preserve"> Absent Days</t>
  </si>
  <si>
    <t>Leave Days</t>
  </si>
  <si>
    <t>Late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</si>
</sst>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 #,##0_ ;_ * \-#,##0_ ;_ * &quot;-&quot;??_ ;_ @_ "/>
    <numFmt numFmtId="165" formatCode="#,##0.0,,&quot;L&quot;"/>
  </numFmts>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b/>
      <sz val="11"/>
      <color theme="0"/>
      <name val="Aptos Narrow"/>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3" tint="0.249977111117893"/>
        <bgColor indexed="64"/>
      </patternFill>
    </fill>
    <fill>
      <patternFill patternType="solid">
        <fgColor theme="4" tint="0.39997558519241921"/>
        <bgColor indexed="64"/>
      </patternFill>
    </fill>
    <fill>
      <patternFill patternType="solid">
        <fgColor theme="4" tint="0.79998168889431442"/>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2" borderId="1" xfId="0" applyFont="1" applyFill="1" applyBorder="1"/>
    <xf numFmtId="10" fontId="0" fillId="0" borderId="0" xfId="0" applyNumberFormat="1"/>
    <xf numFmtId="0" fontId="0" fillId="0" borderId="0" xfId="0" pivotButton="1"/>
    <xf numFmtId="164" fontId="0" fillId="0" borderId="0" xfId="0" applyNumberFormat="1"/>
    <xf numFmtId="0" fontId="0" fillId="0" borderId="0" xfId="0" applyAlignment="1">
      <alignment horizontal="left"/>
    </xf>
    <xf numFmtId="14" fontId="0" fillId="0" borderId="0" xfId="0" applyNumberFormat="1" applyAlignment="1">
      <alignment horizontal="left"/>
    </xf>
    <xf numFmtId="0" fontId="0" fillId="4" borderId="0" xfId="0" applyFill="1"/>
    <xf numFmtId="0" fontId="0" fillId="0" borderId="0" xfId="0" applyAlignment="1">
      <alignment horizontal="center"/>
    </xf>
    <xf numFmtId="164" fontId="0" fillId="0" borderId="0" xfId="0" applyNumberFormat="1" applyAlignment="1">
      <alignment horizontal="center"/>
    </xf>
    <xf numFmtId="0" fontId="3" fillId="5" borderId="2" xfId="0" applyFont="1" applyFill="1" applyBorder="1"/>
    <xf numFmtId="0" fontId="3" fillId="5" borderId="2" xfId="0" applyFont="1" applyFill="1" applyBorder="1" applyAlignment="1">
      <alignment horizontal="center"/>
    </xf>
    <xf numFmtId="0" fontId="3" fillId="6" borderId="2" xfId="0" applyFont="1" applyFill="1" applyBorder="1"/>
    <xf numFmtId="0" fontId="3" fillId="6" borderId="2" xfId="0" applyFont="1" applyFill="1" applyBorder="1" applyAlignment="1">
      <alignment horizontal="center"/>
    </xf>
    <xf numFmtId="165" fontId="0" fillId="0" borderId="0" xfId="0" applyNumberFormat="1"/>
    <xf numFmtId="0" fontId="3" fillId="5" borderId="2" xfId="0" applyFont="1" applyFill="1" applyBorder="1" applyAlignment="1">
      <alignment horizontal="left"/>
    </xf>
    <xf numFmtId="0" fontId="3" fillId="6" borderId="2" xfId="0" applyFont="1" applyFill="1" applyBorder="1" applyAlignment="1">
      <alignment horizontal="left"/>
    </xf>
    <xf numFmtId="0" fontId="1" fillId="7" borderId="2" xfId="0" applyFont="1" applyFill="1" applyBorder="1" applyAlignment="1">
      <alignment horizontal="left"/>
    </xf>
    <xf numFmtId="0" fontId="1" fillId="7" borderId="2" xfId="0" applyFont="1" applyFill="1" applyBorder="1" applyAlignment="1">
      <alignment horizontal="center"/>
    </xf>
    <xf numFmtId="0" fontId="0" fillId="8" borderId="2" xfId="0" applyFill="1" applyBorder="1" applyAlignment="1">
      <alignment horizontal="left"/>
    </xf>
    <xf numFmtId="0" fontId="0" fillId="8" borderId="2" xfId="0" applyFill="1" applyBorder="1" applyAlignment="1">
      <alignment horizontal="center"/>
    </xf>
    <xf numFmtId="0" fontId="2" fillId="3" borderId="0" xfId="0" applyFont="1" applyFill="1" applyAlignment="1">
      <alignment horizontal="center"/>
    </xf>
  </cellXfs>
  <cellStyles count="1">
    <cellStyle name="Normal" xfId="0" builtinId="0"/>
  </cellStyles>
  <dxfs count="19">
    <dxf>
      <numFmt numFmtId="165" formatCode="#,##0.0,,&quot;L&quot;"/>
    </dxf>
    <dxf>
      <numFmt numFmtId="165" formatCode="#,##0.0,,&quot;L&quot;"/>
    </dxf>
    <dxf>
      <numFmt numFmtId="164" formatCode="_ * #,##0_ ;_ * \-#,##0_ ;_ * &quot;-&quot;??_ ;_ @_ "/>
    </dxf>
    <dxf>
      <numFmt numFmtId="165" formatCode="#,##0.0,,&quot;L&quot;"/>
    </dxf>
    <dxf>
      <numFmt numFmtId="165" formatCode="#,##0.0,,&quot;L&quot;"/>
    </dxf>
    <dxf>
      <numFmt numFmtId="164" formatCode="_ * #,##0_ ;_ * \-#,##0_ ;_ * &quot;-&quot;??_ ;_ @_ "/>
    </dxf>
    <dxf>
      <numFmt numFmtId="164" formatCode="_ * #,##0_ ;_ * \-#,##0_ ;_ * &quot;-&quot;??_ ;_ @_ "/>
    </dxf>
    <dxf>
      <numFmt numFmtId="165" formatCode="#,##0.0,,&quot;L&quot;"/>
    </dxf>
    <dxf>
      <alignment horizontal="center"/>
    </dxf>
    <dxf>
      <alignment horizontal="center"/>
    </dxf>
    <dxf>
      <alignment horizontal="center"/>
    </dxf>
    <dxf>
      <numFmt numFmtId="164" formatCode="_ * #,##0_ ;_ * \-#,##0_ ;_ * &quot;-&quot;??_ ;_ @_ "/>
    </dxf>
    <dxf>
      <numFmt numFmtId="165" formatCode="#,##0.0,,&quot;L&quot;"/>
    </dxf>
    <dxf>
      <numFmt numFmtId="164" formatCode="_ * #,##0_ ;_ * \-#,##0_ ;_ * &quot;-&quot;??_ ;_ @_ "/>
    </dxf>
    <dxf>
      <numFmt numFmtId="164" formatCode="_ * #,##0_ ;_ * \-#,##0_ ;_ * &quot;-&quot;??_ ;_ @_ "/>
    </dxf>
    <dxf>
      <numFmt numFmtId="164" formatCode="_ * #,##0_ ;_ * \-#,##0_ ;_ * &quot;-&quot;??_ ;_ @_ "/>
    </dxf>
    <dxf>
      <numFmt numFmtId="164" formatCode="_ * #,##0_ ;_ * \-#,##0_ ;_ * &quot;-&quot;??_ ;_ @_ "/>
    </dxf>
    <dxf>
      <font>
        <b/>
        <color theme="1"/>
      </font>
      <border>
        <bottom style="thin">
          <color theme="4"/>
        </bottom>
        <vertical/>
        <horizontal/>
      </border>
    </dxf>
    <dxf>
      <font>
        <color theme="1"/>
      </font>
      <fill>
        <patternFill>
          <bgColor theme="7" tint="0.7999816888943144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3B2B71FB-2C74-4BEA-B5F7-FF05816AD751}">
      <tableStyleElement type="wholeTable" dxfId="18"/>
      <tableStyleElement type="headerRow" dxfId="17"/>
    </tableStyle>
  </tableStyles>
  <colors>
    <mruColors>
      <color rgb="FF3399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1.xml"/><Relationship Id="rId18" Type="http://schemas.microsoft.com/office/2007/relationships/slicerCache" Target="slicerCaches/slicerCache1.xml"/><Relationship Id="rId26" Type="http://schemas.openxmlformats.org/officeDocument/2006/relationships/sheetMetadata" Target="metadata.xml"/><Relationship Id="rId3" Type="http://schemas.openxmlformats.org/officeDocument/2006/relationships/pivotCacheDefinition" Target="pivotCache/pivotCacheDefinition1.xml"/><Relationship Id="rId21" Type="http://schemas.microsoft.com/office/2007/relationships/slicerCache" Target="slicerCaches/slicerCache4.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microsoft.com/office/2007/relationships/slicerCache" Target="slicerCaches/slicerCache3.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styles" Target="styles.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onnections" Target="connections.xml"/><Relationship Id="rId28" Type="http://schemas.microsoft.com/office/2017/10/relationships/person" Target="persons/person.xml"/><Relationship Id="rId10" Type="http://schemas.openxmlformats.org/officeDocument/2006/relationships/pivotCacheDefinition" Target="pivotCache/pivotCacheDefinition8.xml"/><Relationship Id="rId19" Type="http://schemas.microsoft.com/office/2007/relationships/slicerCache" Target="slicerCaches/slicerCache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[Hr1.xlsx]Pivot Table !PivotTable8</c:name>
    <c:fmtId val="2"/>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marker>
          <c:symbol val="none"/>
        </c:marker>
        <c:dLbl>
          <c:idx val="0"/>
          <c:spPr>
            <a:noFill/>
            <a:ln>
              <a:noFill/>
            </a:ln>
            <a:effectLst/>
          </c:spPr>
          <c:txPr>
            <a:bodyPr wrap="square" lIns="38100" tIns="19050" rIns="38100" bIns="19050" anchor="ctr">
              <a:spAutoFit/>
            </a:bodyPr>
            <a:lstStyle/>
            <a:p>
              <a:pPr>
                <a:defRPr sz="900" b="1">
                  <a:solidFill>
                    <a:schemeClr val="tx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50000"/>
              <a:lumOff val="50000"/>
            </a:schemeClr>
          </a:solidFill>
          <a:ln w="19050">
            <a:solidFill>
              <a:schemeClr val="lt1"/>
            </a:solidFill>
          </a:ln>
          <a:effectLst/>
        </c:spPr>
        <c:dLbl>
          <c:idx val="0"/>
          <c:layout>
            <c:manualLayout>
              <c:x val="4.2208940069536738E-2"/>
              <c:y val="4.1152263374485597E-2"/>
            </c:manualLayout>
          </c:layout>
          <c:spPr>
            <a:noFill/>
            <a:ln>
              <a:noFill/>
            </a:ln>
            <a:effectLst/>
          </c:spPr>
          <c:txPr>
            <a:bodyPr wrap="square" lIns="38100" tIns="19050" rIns="38100" bIns="19050" anchor="ctr">
              <a:spAutoFit/>
            </a:bodyPr>
            <a:lstStyle/>
            <a:p>
              <a:pPr>
                <a:defRPr sz="9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60000"/>
              <a:lumOff val="40000"/>
              <a:alpha val="50000"/>
            </a:schemeClr>
          </a:solidFill>
          <a:ln w="19050">
            <a:solidFill>
              <a:schemeClr val="lt1"/>
            </a:solidFill>
          </a:ln>
          <a:effectLst/>
        </c:spPr>
        <c:dLbl>
          <c:idx val="0"/>
          <c:layout>
            <c:manualLayout>
              <c:x val="1.5828352526076277E-2"/>
              <c:y val="0"/>
            </c:manualLayout>
          </c:layout>
          <c:spPr>
            <a:noFill/>
            <a:ln>
              <a:noFill/>
            </a:ln>
            <a:effectLst/>
          </c:spPr>
          <c:txPr>
            <a:bodyPr wrap="square" lIns="38100" tIns="19050" rIns="38100" bIns="19050" anchor="ctr">
              <a:spAutoFit/>
            </a:bodyPr>
            <a:lstStyle/>
            <a:p>
              <a:pPr>
                <a:defRPr sz="9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alpha val="60000"/>
            </a:schemeClr>
          </a:solidFill>
          <a:ln w="19050">
            <a:solidFill>
              <a:schemeClr val="lt1"/>
            </a:solidFill>
          </a:ln>
          <a:effectLst/>
        </c:spPr>
        <c:dLbl>
          <c:idx val="0"/>
          <c:layout>
            <c:manualLayout>
              <c:x val="3.6932822560844548E-2"/>
              <c:y val="0"/>
            </c:manualLayout>
          </c:layout>
          <c:spPr>
            <a:noFill/>
            <a:ln>
              <a:noFill/>
            </a:ln>
            <a:effectLst/>
          </c:spPr>
          <c:txPr>
            <a:bodyPr wrap="square" lIns="38100" tIns="19050" rIns="38100" bIns="19050" anchor="ctr">
              <a:spAutoFit/>
            </a:bodyPr>
            <a:lstStyle/>
            <a:p>
              <a:pPr>
                <a:defRPr sz="9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alpha val="90000"/>
            </a:schemeClr>
          </a:solidFill>
          <a:ln w="19050">
            <a:solidFill>
              <a:schemeClr val="lt1"/>
            </a:solidFill>
          </a:ln>
          <a:effectLst/>
        </c:spPr>
        <c:dLbl>
          <c:idx val="0"/>
          <c:layout>
            <c:manualLayout>
              <c:x val="-5.2761175086920922E-2"/>
              <c:y val="-4.1152263374485597E-2"/>
            </c:manualLayout>
          </c:layout>
          <c:spPr>
            <a:noFill/>
            <a:ln>
              <a:noFill/>
            </a:ln>
            <a:effectLst/>
          </c:spPr>
          <c:txPr>
            <a:bodyPr wrap="square" lIns="38100" tIns="19050" rIns="38100" bIns="19050" anchor="ctr">
              <a:spAutoFit/>
            </a:bodyPr>
            <a:lstStyle/>
            <a:p>
              <a:pPr>
                <a:defRPr sz="9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50000"/>
            </a:schemeClr>
          </a:solidFill>
          <a:ln w="19050">
            <a:solidFill>
              <a:schemeClr val="lt1"/>
            </a:solidFill>
          </a:ln>
          <a:effectLst/>
        </c:spPr>
        <c:dLbl>
          <c:idx val="0"/>
          <c:layout>
            <c:manualLayout>
              <c:x val="-1.0552235017384209E-2"/>
              <c:y val="-7.2016460905349799E-2"/>
            </c:manualLayout>
          </c:layout>
          <c:spPr>
            <a:noFill/>
            <a:ln>
              <a:noFill/>
            </a:ln>
            <a:effectLst/>
          </c:spPr>
          <c:txPr>
            <a:bodyPr wrap="square" lIns="38100" tIns="19050" rIns="38100" bIns="19050" anchor="ctr">
              <a:spAutoFit/>
            </a:bodyPr>
            <a:lstStyle/>
            <a:p>
              <a:pPr>
                <a:defRPr sz="900" b="1">
                  <a:solidFill>
                    <a:schemeClr val="tx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1024530622877"/>
          <c:y val="0.13425925925925927"/>
          <c:w val="0.43611111111111106"/>
          <c:h val="0.72685185185185175"/>
        </c:manualLayout>
      </c:layout>
      <c:pieChart>
        <c:varyColors val="1"/>
        <c:ser>
          <c:idx val="0"/>
          <c:order val="0"/>
          <c:tx>
            <c:strRef>
              <c:f>'Pivot Table '!$B$10</c:f>
              <c:strCache>
                <c:ptCount val="1"/>
                <c:pt idx="0">
                  <c:v>Total</c:v>
                </c:pt>
              </c:strCache>
            </c:strRef>
          </c:tx>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F5D7-4C4B-B796-4DC733DCDE46}"/>
              </c:ext>
            </c:extLst>
          </c:dPt>
          <c:dPt>
            <c:idx val="1"/>
            <c:bubble3D val="0"/>
            <c:spPr>
              <a:solidFill>
                <a:schemeClr val="accent4">
                  <a:lumMod val="60000"/>
                  <a:lumOff val="40000"/>
                  <a:alpha val="50000"/>
                </a:schemeClr>
              </a:solidFill>
              <a:ln w="19050">
                <a:solidFill>
                  <a:schemeClr val="lt1"/>
                </a:solidFill>
              </a:ln>
              <a:effectLst/>
            </c:spPr>
            <c:extLst>
              <c:ext xmlns:c16="http://schemas.microsoft.com/office/drawing/2014/chart" uri="{C3380CC4-5D6E-409C-BE32-E72D297353CC}">
                <c16:uniqueId val="{00000009-F5D7-4C4B-B796-4DC733DCDE46}"/>
              </c:ext>
            </c:extLst>
          </c:dPt>
          <c:dPt>
            <c:idx val="2"/>
            <c:bubble3D val="0"/>
            <c:spPr>
              <a:solidFill>
                <a:schemeClr val="accent1">
                  <a:lumMod val="75000"/>
                  <a:alpha val="60000"/>
                </a:schemeClr>
              </a:solidFill>
              <a:ln w="19050">
                <a:solidFill>
                  <a:schemeClr val="lt1"/>
                </a:solidFill>
              </a:ln>
              <a:effectLst/>
            </c:spPr>
            <c:extLst>
              <c:ext xmlns:c16="http://schemas.microsoft.com/office/drawing/2014/chart" uri="{C3380CC4-5D6E-409C-BE32-E72D297353CC}">
                <c16:uniqueId val="{0000000B-F5D7-4C4B-B796-4DC733DCDE46}"/>
              </c:ext>
            </c:extLst>
          </c:dPt>
          <c:dPt>
            <c:idx val="3"/>
            <c:bubble3D val="0"/>
            <c:spPr>
              <a:solidFill>
                <a:schemeClr val="accent1">
                  <a:lumMod val="75000"/>
                  <a:alpha val="90000"/>
                </a:schemeClr>
              </a:solidFill>
              <a:ln w="19050">
                <a:solidFill>
                  <a:schemeClr val="lt1"/>
                </a:solidFill>
              </a:ln>
              <a:effectLst/>
            </c:spPr>
            <c:extLst>
              <c:ext xmlns:c16="http://schemas.microsoft.com/office/drawing/2014/chart" uri="{C3380CC4-5D6E-409C-BE32-E72D297353CC}">
                <c16:uniqueId val="{0000000D-F5D7-4C4B-B796-4DC733DCDE46}"/>
              </c:ext>
            </c:extLst>
          </c:dPt>
          <c:dPt>
            <c:idx val="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F-F5D7-4C4B-B796-4DC733DCDE46}"/>
              </c:ext>
            </c:extLst>
          </c:dPt>
          <c:dLbls>
            <c:dLbl>
              <c:idx val="0"/>
              <c:layout>
                <c:manualLayout>
                  <c:x val="4.2208940069536738E-2"/>
                  <c:y val="4.115226337448559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5D7-4C4B-B796-4DC733DCDE46}"/>
                </c:ext>
              </c:extLst>
            </c:dLbl>
            <c:dLbl>
              <c:idx val="1"/>
              <c:layout>
                <c:manualLayout>
                  <c:x val="1.5828352526076277E-2"/>
                  <c:y val="0"/>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5D7-4C4B-B796-4DC733DCDE46}"/>
                </c:ext>
              </c:extLst>
            </c:dLbl>
            <c:dLbl>
              <c:idx val="2"/>
              <c:layout>
                <c:manualLayout>
                  <c:x val="3.6932822560844548E-2"/>
                  <c:y val="0"/>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5D7-4C4B-B796-4DC733DCDE46}"/>
                </c:ext>
              </c:extLst>
            </c:dLbl>
            <c:dLbl>
              <c:idx val="3"/>
              <c:layout>
                <c:manualLayout>
                  <c:x val="-5.2761175086920922E-2"/>
                  <c:y val="-4.115226337448559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5D7-4C4B-B796-4DC733DCDE46}"/>
                </c:ext>
              </c:extLst>
            </c:dLbl>
            <c:dLbl>
              <c:idx val="4"/>
              <c:layout>
                <c:manualLayout>
                  <c:x val="-1.0552235017384209E-2"/>
                  <c:y val="-7.201646090534979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5D7-4C4B-B796-4DC733DCDE46}"/>
                </c:ext>
              </c:extLst>
            </c:dLbl>
            <c:spPr>
              <a:noFill/>
              <a:ln>
                <a:noFill/>
              </a:ln>
              <a:effectLst/>
            </c:spPr>
            <c:txPr>
              <a:bodyPr wrap="square" lIns="38100" tIns="19050" rIns="38100" bIns="19050" anchor="ctr">
                <a:spAutoFit/>
              </a:bodyPr>
              <a:lstStyle/>
              <a:p>
                <a:pPr>
                  <a:defRPr sz="900" b="1">
                    <a:solidFill>
                      <a:schemeClr val="tx1"/>
                    </a:solidFill>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'Pivot Table '!$A$11:$A$16</c:f>
              <c:strCache>
                <c:ptCount val="5"/>
                <c:pt idx="0">
                  <c:v>Finance</c:v>
                </c:pt>
                <c:pt idx="1">
                  <c:v>HR</c:v>
                </c:pt>
                <c:pt idx="2">
                  <c:v>IT</c:v>
                </c:pt>
                <c:pt idx="3">
                  <c:v>Operations</c:v>
                </c:pt>
                <c:pt idx="4">
                  <c:v>Sales</c:v>
                </c:pt>
              </c:strCache>
            </c:strRef>
          </c:cat>
          <c:val>
            <c:numRef>
              <c:f>'Pivot Table '!$B$11:$B$16</c:f>
              <c:numCache>
                <c:formatCode>_ * #,##0_ ;_ * \-#,##0_ ;_ * "-"??_ ;_ @_ </c:formatCode>
                <c:ptCount val="5"/>
                <c:pt idx="0">
                  <c:v>17</c:v>
                </c:pt>
                <c:pt idx="1">
                  <c:v>17</c:v>
                </c:pt>
                <c:pt idx="2">
                  <c:v>25</c:v>
                </c:pt>
                <c:pt idx="3">
                  <c:v>29</c:v>
                </c:pt>
                <c:pt idx="4">
                  <c:v>36</c:v>
                </c:pt>
              </c:numCache>
            </c:numRef>
          </c:val>
          <c:extLst>
            <c:ext xmlns:c16="http://schemas.microsoft.com/office/drawing/2014/chart" uri="{C3380CC4-5D6E-409C-BE32-E72D297353CC}">
              <c16:uniqueId val="{00000010-F5D7-4C4B-B796-4DC733DCDE46}"/>
            </c:ext>
          </c:extLst>
        </c:ser>
        <c:dLbls>
          <c:dLblPos val="outEnd"/>
          <c:showLegendKey val="0"/>
          <c:showVal val="1"/>
          <c:showCatName val="0"/>
          <c:showSerName val="0"/>
          <c:showPercent val="0"/>
          <c:showBubbleSize val="0"/>
          <c:showLeaderLines val="1"/>
        </c:dLbls>
        <c:firstSliceAng val="0"/>
      </c:pieChart>
    </c:plotArea>
    <c:legend>
      <c:legendPos val="r"/>
      <c:layout>
        <c:manualLayout>
          <c:xMode val="edge"/>
          <c:yMode val="edge"/>
          <c:x val="0.6656956394758281"/>
          <c:y val="6.6533002819092052E-2"/>
          <c:w val="0.31290409555505794"/>
          <c:h val="0.8498695764881242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[Hr1.xlsx]Pivot Table !PivotTable9</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478227811525525E-2"/>
          <c:y val="0.22162329260160482"/>
          <c:w val="0.85216845227339988"/>
          <c:h val="0.46672771841678617"/>
        </c:manualLayout>
      </c:layout>
      <c:barChart>
        <c:barDir val="col"/>
        <c:grouping val="clustered"/>
        <c:varyColors val="0"/>
        <c:ser>
          <c:idx val="0"/>
          <c:order val="0"/>
          <c:tx>
            <c:strRef>
              <c:f>'Pivot Table '!$B$20</c:f>
              <c:strCache>
                <c:ptCount val="1"/>
                <c:pt idx="0">
                  <c:v>Sum of Present_Flag</c:v>
                </c:pt>
              </c:strCache>
            </c:strRef>
          </c:tx>
          <c:spPr>
            <a:solidFill>
              <a:schemeClr val="accent1">
                <a:lumMod val="50000"/>
              </a:schemeClr>
            </a:solidFill>
            <a:ln>
              <a:noFill/>
            </a:ln>
            <a:effectLst/>
          </c:spPr>
          <c:invertIfNegative val="0"/>
          <c:cat>
            <c:strRef>
              <c:f>'Pivot Table '!$A$21:$A$25</c:f>
              <c:strCache>
                <c:ptCount val="5"/>
                <c:pt idx="0">
                  <c:v>Finance</c:v>
                </c:pt>
                <c:pt idx="1">
                  <c:v>HR</c:v>
                </c:pt>
                <c:pt idx="2">
                  <c:v>IT</c:v>
                </c:pt>
                <c:pt idx="3">
                  <c:v>Operations</c:v>
                </c:pt>
                <c:pt idx="4">
                  <c:v>Sales</c:v>
                </c:pt>
              </c:strCache>
            </c:strRef>
          </c:cat>
          <c:val>
            <c:numRef>
              <c:f>'Pivot Table '!$B$21:$B$25</c:f>
              <c:numCache>
                <c:formatCode>_ * #,##0_ ;_ * \-#,##0_ ;_ * "-"??_ ;_ @_ </c:formatCode>
                <c:ptCount val="5"/>
                <c:pt idx="0">
                  <c:v>323</c:v>
                </c:pt>
                <c:pt idx="1">
                  <c:v>309</c:v>
                </c:pt>
                <c:pt idx="2">
                  <c:v>474</c:v>
                </c:pt>
                <c:pt idx="3">
                  <c:v>539</c:v>
                </c:pt>
                <c:pt idx="4">
                  <c:v>657</c:v>
                </c:pt>
              </c:numCache>
            </c:numRef>
          </c:val>
          <c:extLst>
            <c:ext xmlns:c16="http://schemas.microsoft.com/office/drawing/2014/chart" uri="{C3380CC4-5D6E-409C-BE32-E72D297353CC}">
              <c16:uniqueId val="{0000000D-8C42-460D-9477-DEA099B834F4}"/>
            </c:ext>
          </c:extLst>
        </c:ser>
        <c:ser>
          <c:idx val="1"/>
          <c:order val="1"/>
          <c:tx>
            <c:strRef>
              <c:f>'Pivot Table '!$C$20</c:f>
              <c:strCache>
                <c:ptCount val="1"/>
                <c:pt idx="0">
                  <c:v>Sum of Absent_Flag</c:v>
                </c:pt>
              </c:strCache>
            </c:strRef>
          </c:tx>
          <c:spPr>
            <a:solidFill>
              <a:srgbClr val="FF0000"/>
            </a:solidFill>
            <a:ln>
              <a:noFill/>
            </a:ln>
            <a:effectLst/>
          </c:spPr>
          <c:invertIfNegative val="0"/>
          <c:cat>
            <c:strRef>
              <c:f>'Pivot Table '!$A$21:$A$25</c:f>
              <c:strCache>
                <c:ptCount val="5"/>
                <c:pt idx="0">
                  <c:v>Finance</c:v>
                </c:pt>
                <c:pt idx="1">
                  <c:v>HR</c:v>
                </c:pt>
                <c:pt idx="2">
                  <c:v>IT</c:v>
                </c:pt>
                <c:pt idx="3">
                  <c:v>Operations</c:v>
                </c:pt>
                <c:pt idx="4">
                  <c:v>Sales</c:v>
                </c:pt>
              </c:strCache>
            </c:strRef>
          </c:cat>
          <c:val>
            <c:numRef>
              <c:f>'Pivot Table '!$C$21:$C$25</c:f>
              <c:numCache>
                <c:formatCode>_ * #,##0_ ;_ * \-#,##0_ ;_ * "-"??_ ;_ @_ </c:formatCode>
                <c:ptCount val="5"/>
                <c:pt idx="0">
                  <c:v>21</c:v>
                </c:pt>
                <c:pt idx="1">
                  <c:v>12</c:v>
                </c:pt>
                <c:pt idx="2">
                  <c:v>26</c:v>
                </c:pt>
                <c:pt idx="3">
                  <c:v>30</c:v>
                </c:pt>
                <c:pt idx="4">
                  <c:v>39</c:v>
                </c:pt>
              </c:numCache>
            </c:numRef>
          </c:val>
          <c:extLst>
            <c:ext xmlns:c16="http://schemas.microsoft.com/office/drawing/2014/chart" uri="{C3380CC4-5D6E-409C-BE32-E72D297353CC}">
              <c16:uniqueId val="{0000000E-8C42-460D-9477-DEA099B834F4}"/>
            </c:ext>
          </c:extLst>
        </c:ser>
        <c:ser>
          <c:idx val="2"/>
          <c:order val="2"/>
          <c:tx>
            <c:strRef>
              <c:f>'Pivot Table '!$D$20</c:f>
              <c:strCache>
                <c:ptCount val="1"/>
                <c:pt idx="0">
                  <c:v>Sum of Leave_Flag</c:v>
                </c:pt>
              </c:strCache>
            </c:strRef>
          </c:tx>
          <c:spPr>
            <a:solidFill>
              <a:schemeClr val="accent5">
                <a:lumMod val="50000"/>
              </a:schemeClr>
            </a:solidFill>
            <a:ln>
              <a:noFill/>
            </a:ln>
            <a:effectLst/>
          </c:spPr>
          <c:invertIfNegative val="0"/>
          <c:cat>
            <c:strRef>
              <c:f>'Pivot Table '!$A$21:$A$25</c:f>
              <c:strCache>
                <c:ptCount val="5"/>
                <c:pt idx="0">
                  <c:v>Finance</c:v>
                </c:pt>
                <c:pt idx="1">
                  <c:v>HR</c:v>
                </c:pt>
                <c:pt idx="2">
                  <c:v>IT</c:v>
                </c:pt>
                <c:pt idx="3">
                  <c:v>Operations</c:v>
                </c:pt>
                <c:pt idx="4">
                  <c:v>Sales</c:v>
                </c:pt>
              </c:strCache>
            </c:strRef>
          </c:cat>
          <c:val>
            <c:numRef>
              <c:f>'Pivot Table '!$D$21:$D$25</c:f>
              <c:numCache>
                <c:formatCode>_ * #,##0_ ;_ * \-#,##0_ ;_ * "-"??_ ;_ @_ </c:formatCode>
                <c:ptCount val="5"/>
                <c:pt idx="0">
                  <c:v>12</c:v>
                </c:pt>
                <c:pt idx="1">
                  <c:v>22</c:v>
                </c:pt>
                <c:pt idx="2">
                  <c:v>25</c:v>
                </c:pt>
                <c:pt idx="3">
                  <c:v>29</c:v>
                </c:pt>
                <c:pt idx="4">
                  <c:v>47</c:v>
                </c:pt>
              </c:numCache>
            </c:numRef>
          </c:val>
          <c:extLst>
            <c:ext xmlns:c16="http://schemas.microsoft.com/office/drawing/2014/chart" uri="{C3380CC4-5D6E-409C-BE32-E72D297353CC}">
              <c16:uniqueId val="{0000000F-8C42-460D-9477-DEA099B834F4}"/>
            </c:ext>
          </c:extLst>
        </c:ser>
        <c:dLbls>
          <c:showLegendKey val="0"/>
          <c:showVal val="0"/>
          <c:showCatName val="0"/>
          <c:showSerName val="0"/>
          <c:showPercent val="0"/>
          <c:showBubbleSize val="0"/>
        </c:dLbls>
        <c:gapWidth val="0"/>
        <c:overlap val="37"/>
        <c:axId val="1938379984"/>
        <c:axId val="730409200"/>
      </c:barChart>
      <c:catAx>
        <c:axId val="193837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730409200"/>
        <c:crosses val="autoZero"/>
        <c:auto val="1"/>
        <c:lblAlgn val="ctr"/>
        <c:lblOffset val="100"/>
        <c:noMultiLvlLbl val="0"/>
      </c:catAx>
      <c:valAx>
        <c:axId val="730409200"/>
        <c:scaling>
          <c:orientation val="minMax"/>
        </c:scaling>
        <c:delete val="1"/>
        <c:axPos val="l"/>
        <c:numFmt formatCode="_ * #,##0_ ;_ * \-#,##0_ ;_ * &quot;-&quot;??_ ;_ @_ " sourceLinked="1"/>
        <c:majorTickMark val="none"/>
        <c:minorTickMark val="none"/>
        <c:tickLblPos val="nextTo"/>
        <c:crossAx val="1938379984"/>
        <c:crosses val="autoZero"/>
        <c:crossBetween val="between"/>
      </c:valAx>
      <c:spPr>
        <a:noFill/>
        <a:ln>
          <a:noFill/>
        </a:ln>
        <a:effectLst/>
      </c:spPr>
    </c:plotArea>
    <c:legend>
      <c:legendPos val="t"/>
      <c:layout>
        <c:manualLayout>
          <c:xMode val="edge"/>
          <c:yMode val="edge"/>
          <c:x val="0"/>
          <c:y val="3.2240304115183069E-2"/>
          <c:w val="1"/>
          <c:h val="0.300623613193818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[Hr1.xlsx]Pivot Table !PivotTable12</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dLbl>
          <c:idx val="0"/>
          <c:layout>
            <c:manualLayout>
              <c:x val="0.1178096978492023"/>
              <c:y val="-0.1324156560721880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75000"/>
              <a:lumOff val="25000"/>
            </a:schemeClr>
          </a:solidFill>
          <a:ln>
            <a:noFill/>
          </a:ln>
          <a:effectLst/>
        </c:spPr>
        <c:dLbl>
          <c:idx val="0"/>
          <c:layout>
            <c:manualLayout>
              <c:x val="-0.14322646529252103"/>
              <c:y val="8.51581508515815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3666651495152"/>
          <c:y val="9.1708090260257807E-2"/>
          <c:w val="0.33349377209351722"/>
          <c:h val="0.79365679691441993"/>
        </c:manualLayout>
      </c:layout>
      <c:doughnutChart>
        <c:varyColors val="1"/>
        <c:ser>
          <c:idx val="0"/>
          <c:order val="0"/>
          <c:tx>
            <c:strRef>
              <c:f>'Pivot Table '!$B$77</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1-DC4F-4EB7-9B7E-FF4244C8E305}"/>
              </c:ext>
            </c:extLst>
          </c:dPt>
          <c:dPt>
            <c:idx val="1"/>
            <c:bubble3D val="0"/>
            <c:spPr>
              <a:solidFill>
                <a:schemeClr val="tx2">
                  <a:lumMod val="75000"/>
                  <a:lumOff val="25000"/>
                </a:schemeClr>
              </a:solidFill>
              <a:ln>
                <a:noFill/>
              </a:ln>
              <a:effectLst/>
            </c:spPr>
            <c:extLst>
              <c:ext xmlns:c16="http://schemas.microsoft.com/office/drawing/2014/chart" uri="{C3380CC4-5D6E-409C-BE32-E72D297353CC}">
                <c16:uniqueId val="{00000003-DC4F-4EB7-9B7E-FF4244C8E305}"/>
              </c:ext>
            </c:extLst>
          </c:dPt>
          <c:dLbls>
            <c:dLbl>
              <c:idx val="0"/>
              <c:layout>
                <c:manualLayout>
                  <c:x val="0.1178096978492023"/>
                  <c:y val="-0.132415656072188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4F-4EB7-9B7E-FF4244C8E305}"/>
                </c:ext>
              </c:extLst>
            </c:dLbl>
            <c:dLbl>
              <c:idx val="1"/>
              <c:layout>
                <c:manualLayout>
                  <c:x val="-0.14322646529252103"/>
                  <c:y val="8.51581508515815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4F-4EB7-9B7E-FF4244C8E30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19050">
                  <a:solidFill>
                    <a:schemeClr val="accent1">
                      <a:lumMod val="50000"/>
                    </a:schemeClr>
                  </a:solidFill>
                </a:ln>
                <a:effectLst/>
              </c:spPr>
            </c:leaderLines>
            <c:extLst>
              <c:ext xmlns:c15="http://schemas.microsoft.com/office/drawing/2012/chart" uri="{CE6537A1-D6FC-4f65-9D91-7224C49458BB}"/>
            </c:extLst>
          </c:dLbls>
          <c:cat>
            <c:strRef>
              <c:f>'Pivot Table '!$A$78:$A$80</c:f>
              <c:strCache>
                <c:ptCount val="2"/>
                <c:pt idx="0">
                  <c:v>Contract</c:v>
                </c:pt>
                <c:pt idx="1">
                  <c:v>Full Time</c:v>
                </c:pt>
              </c:strCache>
            </c:strRef>
          </c:cat>
          <c:val>
            <c:numRef>
              <c:f>'Pivot Table '!$B$78:$B$80</c:f>
              <c:numCache>
                <c:formatCode>_ * #,##0_ ;_ * \-#,##0_ ;_ * "-"??_ ;_ @_ </c:formatCode>
                <c:ptCount val="2"/>
                <c:pt idx="0">
                  <c:v>24</c:v>
                </c:pt>
                <c:pt idx="1">
                  <c:v>100</c:v>
                </c:pt>
              </c:numCache>
            </c:numRef>
          </c:val>
          <c:extLst>
            <c:ext xmlns:c16="http://schemas.microsoft.com/office/drawing/2014/chart" uri="{C3380CC4-5D6E-409C-BE32-E72D297353CC}">
              <c16:uniqueId val="{00000004-DC4F-4EB7-9B7E-FF4244C8E30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[Hr1.xlsx]Pivot Table !PivotTable14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31839510374905"/>
          <c:y val="0.13288793722923506"/>
          <c:w val="0.78839152263445944"/>
          <c:h val="0.80017682378184796"/>
        </c:manualLayout>
      </c:layout>
      <c:barChart>
        <c:barDir val="bar"/>
        <c:grouping val="clustered"/>
        <c:varyColors val="0"/>
        <c:ser>
          <c:idx val="0"/>
          <c:order val="0"/>
          <c:tx>
            <c:strRef>
              <c:f>'Pivot Table '!$B$99</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'!$A$100:$A$105</c:f>
              <c:strCache>
                <c:ptCount val="5"/>
                <c:pt idx="0">
                  <c:v>Finance</c:v>
                </c:pt>
                <c:pt idx="1">
                  <c:v>HR</c:v>
                </c:pt>
                <c:pt idx="2">
                  <c:v>IT</c:v>
                </c:pt>
                <c:pt idx="3">
                  <c:v>Operations</c:v>
                </c:pt>
                <c:pt idx="4">
                  <c:v>Sales</c:v>
                </c:pt>
              </c:strCache>
            </c:strRef>
          </c:cat>
          <c:val>
            <c:numRef>
              <c:f>'Pivot Table '!$B$100:$B$105</c:f>
              <c:numCache>
                <c:formatCode>#,##0.0,,"L"</c:formatCode>
                <c:ptCount val="5"/>
                <c:pt idx="0">
                  <c:v>27858600</c:v>
                </c:pt>
                <c:pt idx="1">
                  <c:v>26087600</c:v>
                </c:pt>
                <c:pt idx="2">
                  <c:v>47484800</c:v>
                </c:pt>
                <c:pt idx="3">
                  <c:v>32828400</c:v>
                </c:pt>
                <c:pt idx="4">
                  <c:v>43980200</c:v>
                </c:pt>
              </c:numCache>
            </c:numRef>
          </c:val>
          <c:extLst>
            <c:ext xmlns:c16="http://schemas.microsoft.com/office/drawing/2014/chart" uri="{C3380CC4-5D6E-409C-BE32-E72D297353CC}">
              <c16:uniqueId val="{00000000-3D08-4D89-AE4C-596F594D50A1}"/>
            </c:ext>
          </c:extLst>
        </c:ser>
        <c:dLbls>
          <c:dLblPos val="outEnd"/>
          <c:showLegendKey val="0"/>
          <c:showVal val="1"/>
          <c:showCatName val="0"/>
          <c:showSerName val="0"/>
          <c:showPercent val="0"/>
          <c:showBubbleSize val="0"/>
        </c:dLbls>
        <c:gapWidth val="72"/>
        <c:axId val="2110670096"/>
        <c:axId val="1371460592"/>
      </c:barChart>
      <c:catAx>
        <c:axId val="211067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71460592"/>
        <c:crosses val="autoZero"/>
        <c:auto val="1"/>
        <c:lblAlgn val="ctr"/>
        <c:lblOffset val="100"/>
        <c:noMultiLvlLbl val="0"/>
      </c:catAx>
      <c:valAx>
        <c:axId val="1371460592"/>
        <c:scaling>
          <c:orientation val="minMax"/>
        </c:scaling>
        <c:delete val="1"/>
        <c:axPos val="b"/>
        <c:numFmt formatCode="#,##0.0,,&quot;L&quot;" sourceLinked="1"/>
        <c:majorTickMark val="none"/>
        <c:minorTickMark val="none"/>
        <c:tickLblPos val="nextTo"/>
        <c:crossAx val="211067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[Hr1.xlsx]Pivot Table !PivotTable15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50926355711627"/>
          <c:y val="0.15691309706129566"/>
          <c:w val="0.75568320983151116"/>
          <c:h val="0.79750320993765755"/>
        </c:manualLayout>
      </c:layout>
      <c:barChart>
        <c:barDir val="bar"/>
        <c:grouping val="clustered"/>
        <c:varyColors val="0"/>
        <c:ser>
          <c:idx val="0"/>
          <c:order val="0"/>
          <c:tx>
            <c:strRef>
              <c:f>'Pivot Table '!$B$110</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'!$A$111:$A$116</c:f>
              <c:strCache>
                <c:ptCount val="5"/>
                <c:pt idx="0">
                  <c:v>Finance</c:v>
                </c:pt>
                <c:pt idx="1">
                  <c:v>HR</c:v>
                </c:pt>
                <c:pt idx="2">
                  <c:v>IT</c:v>
                </c:pt>
                <c:pt idx="3">
                  <c:v>Operations</c:v>
                </c:pt>
                <c:pt idx="4">
                  <c:v>Sales</c:v>
                </c:pt>
              </c:strCache>
            </c:strRef>
          </c:cat>
          <c:val>
            <c:numRef>
              <c:f>'Pivot Table '!$B$111:$B$116</c:f>
              <c:numCache>
                <c:formatCode>#,##0.0,,"L"</c:formatCode>
                <c:ptCount val="5"/>
                <c:pt idx="0">
                  <c:v>24489850</c:v>
                </c:pt>
                <c:pt idx="1">
                  <c:v>23056088</c:v>
                </c:pt>
                <c:pt idx="2">
                  <c:v>41681134</c:v>
                </c:pt>
                <c:pt idx="3">
                  <c:v>29398864</c:v>
                </c:pt>
                <c:pt idx="4">
                  <c:v>39297456</c:v>
                </c:pt>
              </c:numCache>
            </c:numRef>
          </c:val>
          <c:extLst>
            <c:ext xmlns:c16="http://schemas.microsoft.com/office/drawing/2014/chart" uri="{C3380CC4-5D6E-409C-BE32-E72D297353CC}">
              <c16:uniqueId val="{00000000-3196-4492-B253-3CB00CEBD29A}"/>
            </c:ext>
          </c:extLst>
        </c:ser>
        <c:dLbls>
          <c:dLblPos val="outEnd"/>
          <c:showLegendKey val="0"/>
          <c:showVal val="1"/>
          <c:showCatName val="0"/>
          <c:showSerName val="0"/>
          <c:showPercent val="0"/>
          <c:showBubbleSize val="0"/>
        </c:dLbls>
        <c:gapWidth val="46"/>
        <c:axId val="391683855"/>
        <c:axId val="397959951"/>
      </c:barChart>
      <c:catAx>
        <c:axId val="391683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7959951"/>
        <c:crosses val="autoZero"/>
        <c:auto val="1"/>
        <c:lblAlgn val="ctr"/>
        <c:lblOffset val="100"/>
        <c:noMultiLvlLbl val="0"/>
      </c:catAx>
      <c:valAx>
        <c:axId val="397959951"/>
        <c:scaling>
          <c:orientation val="minMax"/>
        </c:scaling>
        <c:delete val="1"/>
        <c:axPos val="b"/>
        <c:numFmt formatCode="#,##0.0,,&quot;L&quot;" sourceLinked="1"/>
        <c:majorTickMark val="none"/>
        <c:minorTickMark val="none"/>
        <c:tickLblPos val="nextTo"/>
        <c:crossAx val="39168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[Hr1.xlsx]Pivot Table !PivotTable10</c:name>
    <c:fmtId val="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lumMod val="50000"/>
              </a:schemeClr>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50000"/>
              </a:schemeClr>
            </a:solidFill>
            <a:round/>
          </a:ln>
          <a:effectLst/>
        </c:spPr>
        <c:marker>
          <c:symbol val="circle"/>
          <c:size val="5"/>
          <c:spPr>
            <a:solidFill>
              <a:srgbClr val="FF0000"/>
            </a:solidFill>
            <a:ln w="9525">
              <a:solidFill>
                <a:schemeClr val="accent1"/>
              </a:solidFill>
            </a:ln>
            <a:effectLst/>
          </c:spPr>
        </c:marker>
      </c:pivotFmt>
    </c:pivotFmts>
    <c:plotArea>
      <c:layout>
        <c:manualLayout>
          <c:layoutTarget val="inner"/>
          <c:xMode val="edge"/>
          <c:yMode val="edge"/>
          <c:x val="2.1363755270489412E-3"/>
          <c:y val="7.598765077128769E-2"/>
          <c:w val="0.95657011942273118"/>
          <c:h val="0.36506511526823482"/>
        </c:manualLayout>
      </c:layout>
      <c:lineChart>
        <c:grouping val="standard"/>
        <c:varyColors val="0"/>
        <c:ser>
          <c:idx val="0"/>
          <c:order val="0"/>
          <c:tx>
            <c:strRef>
              <c:f>'Pivot Table '!$B$32</c:f>
              <c:strCache>
                <c:ptCount val="1"/>
                <c:pt idx="0">
                  <c:v>Total</c:v>
                </c:pt>
              </c:strCache>
            </c:strRef>
          </c:tx>
          <c:spPr>
            <a:ln w="28575" cap="rnd">
              <a:solidFill>
                <a:schemeClr val="accent1">
                  <a:lumMod val="50000"/>
                </a:schemeClr>
              </a:solidFill>
              <a:round/>
            </a:ln>
            <a:effectLst/>
          </c:spPr>
          <c:marker>
            <c:symbol val="circle"/>
            <c:size val="5"/>
            <c:spPr>
              <a:solidFill>
                <a:srgbClr val="FF0000"/>
              </a:solidFill>
              <a:ln w="9525">
                <a:solidFill>
                  <a:schemeClr val="accent1"/>
                </a:solidFill>
              </a:ln>
              <a:effectLst/>
            </c:spPr>
          </c:marker>
          <c:cat>
            <c:strRef>
              <c:f>'Pivot Table '!$A$33:$A$55</c:f>
              <c:strCache>
                <c:ptCount val="22"/>
                <c:pt idx="0">
                  <c:v>01-05-2025</c:v>
                </c:pt>
                <c:pt idx="1">
                  <c:v>02-05-2025</c:v>
                </c:pt>
                <c:pt idx="2">
                  <c:v>05-05-2025</c:v>
                </c:pt>
                <c:pt idx="3">
                  <c:v>06-05-2025</c:v>
                </c:pt>
                <c:pt idx="4">
                  <c:v>07-05-2025</c:v>
                </c:pt>
                <c:pt idx="5">
                  <c:v>08-05-2025</c:v>
                </c:pt>
                <c:pt idx="6">
                  <c:v>09-05-2025</c:v>
                </c:pt>
                <c:pt idx="7">
                  <c:v>12-05-2025</c:v>
                </c:pt>
                <c:pt idx="8">
                  <c:v>13-05-2025</c:v>
                </c:pt>
                <c:pt idx="9">
                  <c:v>14-05-2025</c:v>
                </c:pt>
                <c:pt idx="10">
                  <c:v>15-05-2025</c:v>
                </c:pt>
                <c:pt idx="11">
                  <c:v>16-05-2025</c:v>
                </c:pt>
                <c:pt idx="12">
                  <c:v>19-05-2025</c:v>
                </c:pt>
                <c:pt idx="13">
                  <c:v>20-05-2025</c:v>
                </c:pt>
                <c:pt idx="14">
                  <c:v>21-05-2025</c:v>
                </c:pt>
                <c:pt idx="15">
                  <c:v>22-05-2025</c:v>
                </c:pt>
                <c:pt idx="16">
                  <c:v>23-05-2025</c:v>
                </c:pt>
                <c:pt idx="17">
                  <c:v>26-05-2025</c:v>
                </c:pt>
                <c:pt idx="18">
                  <c:v>27-05-2025</c:v>
                </c:pt>
                <c:pt idx="19">
                  <c:v>28-05-2025</c:v>
                </c:pt>
                <c:pt idx="20">
                  <c:v>29-05-2025</c:v>
                </c:pt>
                <c:pt idx="21">
                  <c:v>30-05-2025</c:v>
                </c:pt>
              </c:strCache>
            </c:strRef>
          </c:cat>
          <c:val>
            <c:numRef>
              <c:f>'Pivot Table '!$B$33:$B$55</c:f>
              <c:numCache>
                <c:formatCode>_ * #,##0_ ;_ * \-#,##0_ ;_ * "-"??_ ;_ @_ </c:formatCode>
                <c:ptCount val="22"/>
                <c:pt idx="0">
                  <c:v>96</c:v>
                </c:pt>
                <c:pt idx="1">
                  <c:v>104</c:v>
                </c:pt>
                <c:pt idx="2">
                  <c:v>107</c:v>
                </c:pt>
                <c:pt idx="3">
                  <c:v>109</c:v>
                </c:pt>
                <c:pt idx="4">
                  <c:v>107</c:v>
                </c:pt>
                <c:pt idx="5">
                  <c:v>108</c:v>
                </c:pt>
                <c:pt idx="6">
                  <c:v>106</c:v>
                </c:pt>
                <c:pt idx="7">
                  <c:v>104</c:v>
                </c:pt>
                <c:pt idx="8">
                  <c:v>105</c:v>
                </c:pt>
                <c:pt idx="9">
                  <c:v>111</c:v>
                </c:pt>
                <c:pt idx="10">
                  <c:v>106</c:v>
                </c:pt>
                <c:pt idx="11">
                  <c:v>94</c:v>
                </c:pt>
                <c:pt idx="12">
                  <c:v>105</c:v>
                </c:pt>
                <c:pt idx="13">
                  <c:v>103</c:v>
                </c:pt>
                <c:pt idx="14">
                  <c:v>106</c:v>
                </c:pt>
                <c:pt idx="15">
                  <c:v>101</c:v>
                </c:pt>
                <c:pt idx="16">
                  <c:v>106</c:v>
                </c:pt>
                <c:pt idx="17">
                  <c:v>102</c:v>
                </c:pt>
                <c:pt idx="18">
                  <c:v>110</c:v>
                </c:pt>
                <c:pt idx="19">
                  <c:v>104</c:v>
                </c:pt>
                <c:pt idx="20">
                  <c:v>109</c:v>
                </c:pt>
                <c:pt idx="21">
                  <c:v>99</c:v>
                </c:pt>
              </c:numCache>
            </c:numRef>
          </c:val>
          <c:smooth val="0"/>
          <c:extLst>
            <c:ext xmlns:c16="http://schemas.microsoft.com/office/drawing/2014/chart" uri="{C3380CC4-5D6E-409C-BE32-E72D297353CC}">
              <c16:uniqueId val="{00000000-EA9E-477A-9DA5-B179E23E94C9}"/>
            </c:ext>
          </c:extLst>
        </c:ser>
        <c:dLbls>
          <c:showLegendKey val="0"/>
          <c:showVal val="0"/>
          <c:showCatName val="0"/>
          <c:showSerName val="0"/>
          <c:showPercent val="0"/>
          <c:showBubbleSize val="0"/>
        </c:dLbls>
        <c:marker val="1"/>
        <c:smooth val="0"/>
        <c:axId val="1952261744"/>
        <c:axId val="157224207"/>
      </c:lineChart>
      <c:catAx>
        <c:axId val="195226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57224207"/>
        <c:crosses val="autoZero"/>
        <c:auto val="1"/>
        <c:lblAlgn val="ctr"/>
        <c:lblOffset val="100"/>
        <c:noMultiLvlLbl val="0"/>
      </c:catAx>
      <c:valAx>
        <c:axId val="157224207"/>
        <c:scaling>
          <c:orientation val="minMax"/>
        </c:scaling>
        <c:delete val="1"/>
        <c:axPos val="l"/>
        <c:numFmt formatCode="_ * #,##0_ ;_ * \-#,##0_ ;_ * &quot;-&quot;??_ ;_ @_ " sourceLinked="1"/>
        <c:majorTickMark val="none"/>
        <c:minorTickMark val="none"/>
        <c:tickLblPos val="nextTo"/>
        <c:crossAx val="195226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0000000-A99C-492C-951F-4E4E72F01423}">
          <cx:tx>
            <cx:txData>
              <cx:f>_xlchart.v1.1</cx:f>
              <cx:v>Sum of Leave_Flag</cx:v>
            </cx:txData>
          </cx:tx>
          <cx:dataPt idx="1">
            <cx:spPr>
              <a:solidFill>
                <a:srgbClr val="156082">
                  <a:lumMod val="50000"/>
                </a:srgbClr>
              </a:solidFill>
            </cx:spPr>
          </cx:dataPt>
          <cx:dataPt idx="2">
            <cx:spPr>
              <a:solidFill>
                <a:srgbClr val="0E2841">
                  <a:lumMod val="75000"/>
                  <a:lumOff val="25000"/>
                </a:srgbClr>
              </a:solidFill>
            </cx:spPr>
          </cx:dataPt>
          <cx:dataPt idx="4">
            <cx:spPr>
              <a:solidFill>
                <a:srgbClr val="0E2841">
                  <a:lumMod val="50000"/>
                  <a:lumOff val="50000"/>
                </a:srgbClr>
              </a:solidFill>
            </cx:spPr>
          </cx:dataPt>
          <cx:dataLabels pos="inEnd">
            <cx:visibility seriesName="0" categoryName="1" value="0"/>
          </cx:dataLabels>
          <cx:dataId val="0"/>
          <cx:layoutPr>
            <cx:parentLabelLayout val="overlapping"/>
          </cx:layoutPr>
        </cx:series>
      </cx:plotAreaRegion>
    </cx:plotArea>
    <cx:legend pos="l" align="ctr" overlay="0">
      <cx:txPr>
        <a:bodyPr spcFirstLastPara="1" vertOverflow="ellipsis" horzOverflow="overflow" wrap="square" lIns="0" tIns="0" rIns="0" bIns="0" anchor="ctr" anchorCtr="1"/>
        <a:lstStyle/>
        <a:p>
          <a:pPr algn="ctr" rtl="0">
            <a:defRPr sz="800" b="1">
              <a:solidFill>
                <a:schemeClr val="tx1"/>
              </a:solidFill>
            </a:defRPr>
          </a:pPr>
          <a:endParaRPr lang="en-US" sz="800" b="1" i="0" u="none" strike="noStrike" baseline="0">
            <a:solidFill>
              <a:schemeClr val="tx1"/>
            </a:solidFill>
            <a:latin typeface="Aptos Narrow" panose="02110004020202020204"/>
          </a:endParaRPr>
        </a:p>
      </cx:txPr>
    </cx:legend>
  </cx:chart>
  <cx:spPr>
    <a:solidFill>
      <a:schemeClr val="accent1">
        <a:lumMod val="40000"/>
        <a:lumOff val="60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18" Type="http://schemas.openxmlformats.org/officeDocument/2006/relationships/chart" Target="../charts/chart6.xml"/><Relationship Id="rId3" Type="http://schemas.openxmlformats.org/officeDocument/2006/relationships/image" Target="../media/image3.png"/><Relationship Id="rId21" Type="http://schemas.openxmlformats.org/officeDocument/2006/relationships/image" Target="../media/image14.emf"/><Relationship Id="rId7" Type="http://schemas.openxmlformats.org/officeDocument/2006/relationships/image" Target="../media/image7.png"/><Relationship Id="rId12" Type="http://schemas.openxmlformats.org/officeDocument/2006/relationships/chart" Target="../charts/chart1.xml"/><Relationship Id="rId17" Type="http://schemas.openxmlformats.org/officeDocument/2006/relationships/chart" Target="../charts/chart5.xml"/><Relationship Id="rId2" Type="http://schemas.openxmlformats.org/officeDocument/2006/relationships/image" Target="../media/image2.png"/><Relationship Id="rId16" Type="http://schemas.openxmlformats.org/officeDocument/2006/relationships/chart" Target="../charts/chart4.xml"/><Relationship Id="rId20"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microsoft.com/office/2014/relationships/chartEx" Target="../charts/chartEx1.xml"/><Relationship Id="rId10" Type="http://schemas.openxmlformats.org/officeDocument/2006/relationships/image" Target="../media/image10.png"/><Relationship Id="rId19" Type="http://schemas.openxmlformats.org/officeDocument/2006/relationships/image" Target="../media/image12.emf"/><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16.emf"/><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15240</xdr:rowOff>
    </xdr:from>
    <xdr:to>
      <xdr:col>19</xdr:col>
      <xdr:colOff>206828</xdr:colOff>
      <xdr:row>3</xdr:row>
      <xdr:rowOff>130629</xdr:rowOff>
    </xdr:to>
    <xdr:sp macro="" textlink="">
      <xdr:nvSpPr>
        <xdr:cNvPr id="2" name="Rectangle: Rounded Corners 1">
          <a:extLst>
            <a:ext uri="{FF2B5EF4-FFF2-40B4-BE49-F238E27FC236}">
              <a16:creationId xmlns:a16="http://schemas.microsoft.com/office/drawing/2014/main" id="{ECA5E7C7-6DA1-98C2-A788-DD00E57B41D0}"/>
            </a:ext>
          </a:extLst>
        </xdr:cNvPr>
        <xdr:cNvSpPr/>
      </xdr:nvSpPr>
      <xdr:spPr>
        <a:xfrm>
          <a:off x="0" y="15240"/>
          <a:ext cx="11789228" cy="670560"/>
        </a:xfrm>
        <a:prstGeom prst="roundRect">
          <a:avLst>
            <a:gd name="adj" fmla="val 8216"/>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21771</xdr:colOff>
      <xdr:row>4</xdr:row>
      <xdr:rowOff>76383</xdr:rowOff>
    </xdr:from>
    <xdr:to>
      <xdr:col>1</xdr:col>
      <xdr:colOff>424542</xdr:colOff>
      <xdr:row>40</xdr:row>
      <xdr:rowOff>101600</xdr:rowOff>
    </xdr:to>
    <xdr:sp macro="" textlink="">
      <xdr:nvSpPr>
        <xdr:cNvPr id="4" name="Rectangle: Rounded Corners 3">
          <a:extLst>
            <a:ext uri="{FF2B5EF4-FFF2-40B4-BE49-F238E27FC236}">
              <a16:creationId xmlns:a16="http://schemas.microsoft.com/office/drawing/2014/main" id="{E31DDE42-2B96-AA55-05AC-DEAAD29EC3EE}"/>
            </a:ext>
          </a:extLst>
        </xdr:cNvPr>
        <xdr:cNvSpPr/>
      </xdr:nvSpPr>
      <xdr:spPr>
        <a:xfrm>
          <a:off x="21771" y="800283"/>
          <a:ext cx="1012371" cy="6540317"/>
        </a:xfrm>
        <a:prstGeom prst="roundRect">
          <a:avLst>
            <a:gd name="adj" fmla="val 4672"/>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0</xdr:row>
      <xdr:rowOff>0</xdr:rowOff>
    </xdr:from>
    <xdr:to>
      <xdr:col>12</xdr:col>
      <xdr:colOff>586740</xdr:colOff>
      <xdr:row>2</xdr:row>
      <xdr:rowOff>68238</xdr:rowOff>
    </xdr:to>
    <xdr:sp macro="" textlink="">
      <xdr:nvSpPr>
        <xdr:cNvPr id="6" name="TextBox 5">
          <a:extLst>
            <a:ext uri="{FF2B5EF4-FFF2-40B4-BE49-F238E27FC236}">
              <a16:creationId xmlns:a16="http://schemas.microsoft.com/office/drawing/2014/main" id="{B4E5BC39-8F49-C64C-7354-34ADA4B42BE1}"/>
            </a:ext>
          </a:extLst>
        </xdr:cNvPr>
        <xdr:cNvSpPr txBox="1"/>
      </xdr:nvSpPr>
      <xdr:spPr>
        <a:xfrm>
          <a:off x="609600" y="0"/>
          <a:ext cx="7292340" cy="433998"/>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rPr>
            <a:t>HR ATTENDANCE</a:t>
          </a:r>
          <a:r>
            <a:rPr lang="en-IN" sz="2400" b="1" baseline="0">
              <a:solidFill>
                <a:schemeClr val="bg1"/>
              </a:solidFill>
            </a:rPr>
            <a:t> &amp; PAYROLL MIS  DASHBOARD</a:t>
          </a:r>
          <a:endParaRPr lang="en-IN" sz="2400" b="1">
            <a:solidFill>
              <a:schemeClr val="bg1"/>
            </a:solidFill>
          </a:endParaRPr>
        </a:p>
      </xdr:txBody>
    </xdr:sp>
    <xdr:clientData/>
  </xdr:twoCellAnchor>
  <xdr:twoCellAnchor>
    <xdr:from>
      <xdr:col>2</xdr:col>
      <xdr:colOff>22860</xdr:colOff>
      <xdr:row>2</xdr:row>
      <xdr:rowOff>15240</xdr:rowOff>
    </xdr:from>
    <xdr:to>
      <xdr:col>9</xdr:col>
      <xdr:colOff>45720</xdr:colOff>
      <xdr:row>3</xdr:row>
      <xdr:rowOff>99060</xdr:rowOff>
    </xdr:to>
    <xdr:sp macro="" textlink="">
      <xdr:nvSpPr>
        <xdr:cNvPr id="7" name="TextBox 6">
          <a:extLst>
            <a:ext uri="{FF2B5EF4-FFF2-40B4-BE49-F238E27FC236}">
              <a16:creationId xmlns:a16="http://schemas.microsoft.com/office/drawing/2014/main" id="{363CD388-8261-8273-6706-3D32CA2591F4}"/>
            </a:ext>
          </a:extLst>
        </xdr:cNvPr>
        <xdr:cNvSpPr txBox="1"/>
      </xdr:nvSpPr>
      <xdr:spPr>
        <a:xfrm>
          <a:off x="1242060" y="381000"/>
          <a:ext cx="42900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n>
                <a:solidFill>
                  <a:schemeClr val="bg1"/>
                </a:solidFill>
              </a:ln>
              <a:solidFill>
                <a:schemeClr val="bg1"/>
              </a:solidFill>
            </a:rPr>
            <a:t>Employees</a:t>
          </a:r>
          <a:r>
            <a:rPr lang="en-IN" sz="1100">
              <a:ln>
                <a:solidFill>
                  <a:schemeClr val="bg1"/>
                </a:solidFill>
              </a:ln>
              <a:solidFill>
                <a:schemeClr val="bg1"/>
              </a:solidFill>
            </a:rPr>
            <a:t>  </a:t>
          </a:r>
          <a:r>
            <a:rPr lang="en-IN" sz="1100" baseline="0">
              <a:ln>
                <a:solidFill>
                  <a:schemeClr val="bg1"/>
                </a:solidFill>
              </a:ln>
              <a:solidFill>
                <a:schemeClr val="bg1"/>
              </a:solidFill>
            </a:rPr>
            <a:t> |   Attendance   |  Dapartment  |  Payroll </a:t>
          </a:r>
          <a:endParaRPr lang="en-IN" sz="1100">
            <a:ln>
              <a:solidFill>
                <a:schemeClr val="bg1"/>
              </a:solidFill>
            </a:ln>
            <a:solidFill>
              <a:schemeClr val="bg1"/>
            </a:solidFill>
          </a:endParaRPr>
        </a:p>
      </xdr:txBody>
    </xdr:sp>
    <xdr:clientData/>
  </xdr:twoCellAnchor>
  <xdr:twoCellAnchor>
    <xdr:from>
      <xdr:col>14</xdr:col>
      <xdr:colOff>525780</xdr:colOff>
      <xdr:row>1</xdr:row>
      <xdr:rowOff>137160</xdr:rowOff>
    </xdr:from>
    <xdr:to>
      <xdr:col>17</xdr:col>
      <xdr:colOff>495300</xdr:colOff>
      <xdr:row>2</xdr:row>
      <xdr:rowOff>167640</xdr:rowOff>
    </xdr:to>
    <xdr:sp macro="" textlink="">
      <xdr:nvSpPr>
        <xdr:cNvPr id="8" name="TextBox 7">
          <a:extLst>
            <a:ext uri="{FF2B5EF4-FFF2-40B4-BE49-F238E27FC236}">
              <a16:creationId xmlns:a16="http://schemas.microsoft.com/office/drawing/2014/main" id="{4E337E13-5C5E-43E6-D1AD-1B23A00EC125}"/>
            </a:ext>
          </a:extLst>
        </xdr:cNvPr>
        <xdr:cNvSpPr txBox="1"/>
      </xdr:nvSpPr>
      <xdr:spPr>
        <a:xfrm>
          <a:off x="9060180" y="320040"/>
          <a:ext cx="17983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01</a:t>
          </a:r>
          <a:r>
            <a:rPr lang="en-IN" sz="1100" b="1" baseline="0">
              <a:solidFill>
                <a:schemeClr val="bg1"/>
              </a:solidFill>
            </a:rPr>
            <a:t> May 2025 - 30 May 2025</a:t>
          </a:r>
          <a:endParaRPr lang="en-IN" sz="1100" b="1">
            <a:solidFill>
              <a:schemeClr val="bg1"/>
            </a:solidFill>
          </a:endParaRPr>
        </a:p>
      </xdr:txBody>
    </xdr:sp>
    <xdr:clientData/>
  </xdr:twoCellAnchor>
  <xdr:twoCellAnchor>
    <xdr:from>
      <xdr:col>14</xdr:col>
      <xdr:colOff>541020</xdr:colOff>
      <xdr:row>0</xdr:row>
      <xdr:rowOff>121920</xdr:rowOff>
    </xdr:from>
    <xdr:to>
      <xdr:col>16</xdr:col>
      <xdr:colOff>152400</xdr:colOff>
      <xdr:row>1</xdr:row>
      <xdr:rowOff>144780</xdr:rowOff>
    </xdr:to>
    <xdr:sp macro="" textlink="">
      <xdr:nvSpPr>
        <xdr:cNvPr id="9" name="TextBox 8">
          <a:extLst>
            <a:ext uri="{FF2B5EF4-FFF2-40B4-BE49-F238E27FC236}">
              <a16:creationId xmlns:a16="http://schemas.microsoft.com/office/drawing/2014/main" id="{8AA3D84E-9748-E047-5AA6-4E36EAF8807F}"/>
            </a:ext>
          </a:extLst>
        </xdr:cNvPr>
        <xdr:cNvSpPr txBox="1"/>
      </xdr:nvSpPr>
      <xdr:spPr>
        <a:xfrm>
          <a:off x="9075420" y="121920"/>
          <a:ext cx="8305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Month</a:t>
          </a:r>
          <a:endParaRPr lang="en-IN" sz="1100" b="1">
            <a:solidFill>
              <a:schemeClr val="bg1"/>
            </a:solidFill>
          </a:endParaRPr>
        </a:p>
      </xdr:txBody>
    </xdr:sp>
    <xdr:clientData/>
  </xdr:twoCellAnchor>
  <xdr:twoCellAnchor>
    <xdr:from>
      <xdr:col>1</xdr:col>
      <xdr:colOff>464820</xdr:colOff>
      <xdr:row>4</xdr:row>
      <xdr:rowOff>0</xdr:rowOff>
    </xdr:from>
    <xdr:to>
      <xdr:col>5</xdr:col>
      <xdr:colOff>130629</xdr:colOff>
      <xdr:row>8</xdr:row>
      <xdr:rowOff>119743</xdr:rowOff>
    </xdr:to>
    <xdr:sp macro="" textlink="">
      <xdr:nvSpPr>
        <xdr:cNvPr id="18" name="Rectangle: Rounded Corners 17">
          <a:extLst>
            <a:ext uri="{FF2B5EF4-FFF2-40B4-BE49-F238E27FC236}">
              <a16:creationId xmlns:a16="http://schemas.microsoft.com/office/drawing/2014/main" id="{06DF9957-9FDF-4130-BFCE-72F9CF54BF36}"/>
            </a:ext>
          </a:extLst>
        </xdr:cNvPr>
        <xdr:cNvSpPr/>
      </xdr:nvSpPr>
      <xdr:spPr>
        <a:xfrm>
          <a:off x="1074420" y="731520"/>
          <a:ext cx="2104209" cy="851263"/>
        </a:xfrm>
        <a:prstGeom prst="roundRect">
          <a:avLst>
            <a:gd name="adj" fmla="val 491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163286</xdr:colOff>
      <xdr:row>3</xdr:row>
      <xdr:rowOff>175260</xdr:rowOff>
    </xdr:from>
    <xdr:to>
      <xdr:col>8</xdr:col>
      <xdr:colOff>438695</xdr:colOff>
      <xdr:row>8</xdr:row>
      <xdr:rowOff>112123</xdr:rowOff>
    </xdr:to>
    <xdr:sp macro="" textlink="">
      <xdr:nvSpPr>
        <xdr:cNvPr id="44" name="Rectangle: Rounded Corners 43">
          <a:extLst>
            <a:ext uri="{FF2B5EF4-FFF2-40B4-BE49-F238E27FC236}">
              <a16:creationId xmlns:a16="http://schemas.microsoft.com/office/drawing/2014/main" id="{AC525F2F-2C13-F0F3-4BFC-84BEAFB26AC0}"/>
            </a:ext>
          </a:extLst>
        </xdr:cNvPr>
        <xdr:cNvSpPr/>
      </xdr:nvSpPr>
      <xdr:spPr>
        <a:xfrm>
          <a:off x="3211286" y="723900"/>
          <a:ext cx="2104209" cy="851263"/>
        </a:xfrm>
        <a:prstGeom prst="roundRect">
          <a:avLst>
            <a:gd name="adj" fmla="val 491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482237</xdr:colOff>
      <xdr:row>4</xdr:row>
      <xdr:rowOff>0</xdr:rowOff>
    </xdr:from>
    <xdr:to>
      <xdr:col>12</xdr:col>
      <xdr:colOff>148046</xdr:colOff>
      <xdr:row>8</xdr:row>
      <xdr:rowOff>119743</xdr:rowOff>
    </xdr:to>
    <xdr:sp macro="" textlink="">
      <xdr:nvSpPr>
        <xdr:cNvPr id="45" name="Rectangle: Rounded Corners 44">
          <a:extLst>
            <a:ext uri="{FF2B5EF4-FFF2-40B4-BE49-F238E27FC236}">
              <a16:creationId xmlns:a16="http://schemas.microsoft.com/office/drawing/2014/main" id="{E5E879E6-713C-27B8-ECE2-B1CBB655A0FC}"/>
            </a:ext>
          </a:extLst>
        </xdr:cNvPr>
        <xdr:cNvSpPr/>
      </xdr:nvSpPr>
      <xdr:spPr>
        <a:xfrm>
          <a:off x="5359037" y="731520"/>
          <a:ext cx="2104209" cy="851263"/>
        </a:xfrm>
        <a:prstGeom prst="roundRect">
          <a:avLst>
            <a:gd name="adj" fmla="val 491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203563</xdr:colOff>
      <xdr:row>4</xdr:row>
      <xdr:rowOff>0</xdr:rowOff>
    </xdr:from>
    <xdr:to>
      <xdr:col>15</xdr:col>
      <xdr:colOff>478972</xdr:colOff>
      <xdr:row>8</xdr:row>
      <xdr:rowOff>119743</xdr:rowOff>
    </xdr:to>
    <xdr:sp macro="" textlink="">
      <xdr:nvSpPr>
        <xdr:cNvPr id="46" name="Rectangle: Rounded Corners 45">
          <a:extLst>
            <a:ext uri="{FF2B5EF4-FFF2-40B4-BE49-F238E27FC236}">
              <a16:creationId xmlns:a16="http://schemas.microsoft.com/office/drawing/2014/main" id="{72DE09F3-4A97-6FD7-5A93-30317A685DB4}"/>
            </a:ext>
          </a:extLst>
        </xdr:cNvPr>
        <xdr:cNvSpPr/>
      </xdr:nvSpPr>
      <xdr:spPr>
        <a:xfrm>
          <a:off x="7518763" y="740229"/>
          <a:ext cx="2104209" cy="859971"/>
        </a:xfrm>
        <a:prstGeom prst="roundRect">
          <a:avLst>
            <a:gd name="adj" fmla="val 4916"/>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530134</xdr:colOff>
      <xdr:row>4</xdr:row>
      <xdr:rowOff>0</xdr:rowOff>
    </xdr:from>
    <xdr:to>
      <xdr:col>19</xdr:col>
      <xdr:colOff>195943</xdr:colOff>
      <xdr:row>8</xdr:row>
      <xdr:rowOff>119743</xdr:rowOff>
    </xdr:to>
    <xdr:sp macro="" textlink="">
      <xdr:nvSpPr>
        <xdr:cNvPr id="47" name="Rectangle: Rounded Corners 46">
          <a:extLst>
            <a:ext uri="{FF2B5EF4-FFF2-40B4-BE49-F238E27FC236}">
              <a16:creationId xmlns:a16="http://schemas.microsoft.com/office/drawing/2014/main" id="{972544BB-4D35-6D25-8FF0-F866D9C51C3F}"/>
            </a:ext>
          </a:extLst>
        </xdr:cNvPr>
        <xdr:cNvSpPr/>
      </xdr:nvSpPr>
      <xdr:spPr>
        <a:xfrm>
          <a:off x="9674134" y="740229"/>
          <a:ext cx="2104209" cy="859971"/>
        </a:xfrm>
        <a:prstGeom prst="roundRect">
          <a:avLst>
            <a:gd name="adj" fmla="val 4916"/>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474345</xdr:colOff>
      <xdr:row>9</xdr:row>
      <xdr:rowOff>9526</xdr:rowOff>
    </xdr:from>
    <xdr:to>
      <xdr:col>5</xdr:col>
      <xdr:colOff>140154</xdr:colOff>
      <xdr:row>13</xdr:row>
      <xdr:rowOff>125186</xdr:rowOff>
    </xdr:to>
    <xdr:sp macro="" textlink="">
      <xdr:nvSpPr>
        <xdr:cNvPr id="48" name="Rectangle: Rounded Corners 47">
          <a:extLst>
            <a:ext uri="{FF2B5EF4-FFF2-40B4-BE49-F238E27FC236}">
              <a16:creationId xmlns:a16="http://schemas.microsoft.com/office/drawing/2014/main" id="{1CDFA0B0-07AA-7F98-97DD-3EA253E6A5D8}"/>
            </a:ext>
          </a:extLst>
        </xdr:cNvPr>
        <xdr:cNvSpPr/>
      </xdr:nvSpPr>
      <xdr:spPr>
        <a:xfrm>
          <a:off x="1083945" y="1638301"/>
          <a:ext cx="2104209" cy="839560"/>
        </a:xfrm>
        <a:prstGeom prst="roundRect">
          <a:avLst>
            <a:gd name="adj" fmla="val 491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172267</xdr:colOff>
      <xdr:row>9</xdr:row>
      <xdr:rowOff>22861</xdr:rowOff>
    </xdr:from>
    <xdr:to>
      <xdr:col>8</xdr:col>
      <xdr:colOff>447676</xdr:colOff>
      <xdr:row>13</xdr:row>
      <xdr:rowOff>138521</xdr:rowOff>
    </xdr:to>
    <xdr:sp macro="" textlink="">
      <xdr:nvSpPr>
        <xdr:cNvPr id="49" name="Rectangle: Rounded Corners 48">
          <a:extLst>
            <a:ext uri="{FF2B5EF4-FFF2-40B4-BE49-F238E27FC236}">
              <a16:creationId xmlns:a16="http://schemas.microsoft.com/office/drawing/2014/main" id="{AF944F44-2682-D448-C4DD-BFA0D80FA361}"/>
            </a:ext>
          </a:extLst>
        </xdr:cNvPr>
        <xdr:cNvSpPr/>
      </xdr:nvSpPr>
      <xdr:spPr>
        <a:xfrm>
          <a:off x="3220267" y="1668781"/>
          <a:ext cx="2104209" cy="847180"/>
        </a:xfrm>
        <a:prstGeom prst="roundRect">
          <a:avLst>
            <a:gd name="adj" fmla="val 491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507002</xdr:colOff>
      <xdr:row>9</xdr:row>
      <xdr:rowOff>1</xdr:rowOff>
    </xdr:from>
    <xdr:to>
      <xdr:col>12</xdr:col>
      <xdr:colOff>172811</xdr:colOff>
      <xdr:row>13</xdr:row>
      <xdr:rowOff>115661</xdr:rowOff>
    </xdr:to>
    <xdr:sp macro="" textlink="">
      <xdr:nvSpPr>
        <xdr:cNvPr id="50" name="Rectangle: Rounded Corners 49">
          <a:extLst>
            <a:ext uri="{FF2B5EF4-FFF2-40B4-BE49-F238E27FC236}">
              <a16:creationId xmlns:a16="http://schemas.microsoft.com/office/drawing/2014/main" id="{77A195A7-115B-8A7C-27F3-A34E0234203A}"/>
            </a:ext>
          </a:extLst>
        </xdr:cNvPr>
        <xdr:cNvSpPr/>
      </xdr:nvSpPr>
      <xdr:spPr>
        <a:xfrm>
          <a:off x="5383802" y="1628776"/>
          <a:ext cx="2104209" cy="839560"/>
        </a:xfrm>
        <a:prstGeom prst="roundRect">
          <a:avLst>
            <a:gd name="adj" fmla="val 491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203563</xdr:colOff>
      <xdr:row>9</xdr:row>
      <xdr:rowOff>1</xdr:rowOff>
    </xdr:from>
    <xdr:to>
      <xdr:col>15</xdr:col>
      <xdr:colOff>478972</xdr:colOff>
      <xdr:row>13</xdr:row>
      <xdr:rowOff>115661</xdr:rowOff>
    </xdr:to>
    <xdr:sp macro="" textlink="">
      <xdr:nvSpPr>
        <xdr:cNvPr id="51" name="Rectangle: Rounded Corners 50">
          <a:extLst>
            <a:ext uri="{FF2B5EF4-FFF2-40B4-BE49-F238E27FC236}">
              <a16:creationId xmlns:a16="http://schemas.microsoft.com/office/drawing/2014/main" id="{8A013767-A2A5-28D6-BABD-94C0A1073F56}"/>
            </a:ext>
          </a:extLst>
        </xdr:cNvPr>
        <xdr:cNvSpPr/>
      </xdr:nvSpPr>
      <xdr:spPr>
        <a:xfrm>
          <a:off x="7518763" y="1628776"/>
          <a:ext cx="2104209" cy="839560"/>
        </a:xfrm>
        <a:prstGeom prst="roundRect">
          <a:avLst>
            <a:gd name="adj" fmla="val 491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528774</xdr:colOff>
      <xdr:row>9</xdr:row>
      <xdr:rowOff>9526</xdr:rowOff>
    </xdr:from>
    <xdr:to>
      <xdr:col>19</xdr:col>
      <xdr:colOff>194583</xdr:colOff>
      <xdr:row>13</xdr:row>
      <xdr:rowOff>125186</xdr:rowOff>
    </xdr:to>
    <xdr:sp macro="" textlink="">
      <xdr:nvSpPr>
        <xdr:cNvPr id="52" name="Rectangle: Rounded Corners 51">
          <a:extLst>
            <a:ext uri="{FF2B5EF4-FFF2-40B4-BE49-F238E27FC236}">
              <a16:creationId xmlns:a16="http://schemas.microsoft.com/office/drawing/2014/main" id="{ED3CEA0D-437F-22E6-7244-559E771D0DEA}"/>
            </a:ext>
          </a:extLst>
        </xdr:cNvPr>
        <xdr:cNvSpPr/>
      </xdr:nvSpPr>
      <xdr:spPr>
        <a:xfrm>
          <a:off x="9672774" y="1638301"/>
          <a:ext cx="2104209" cy="839560"/>
        </a:xfrm>
        <a:prstGeom prst="roundRect">
          <a:avLst>
            <a:gd name="adj" fmla="val 491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455294</xdr:colOff>
      <xdr:row>13</xdr:row>
      <xdr:rowOff>182456</xdr:rowOff>
    </xdr:from>
    <xdr:to>
      <xdr:col>5</xdr:col>
      <xdr:colOff>485774</xdr:colOff>
      <xdr:row>21</xdr:row>
      <xdr:rowOff>70484</xdr:rowOff>
    </xdr:to>
    <xdr:sp macro="" textlink="">
      <xdr:nvSpPr>
        <xdr:cNvPr id="53" name="Rectangle: Rounded Corners 52">
          <a:extLst>
            <a:ext uri="{FF2B5EF4-FFF2-40B4-BE49-F238E27FC236}">
              <a16:creationId xmlns:a16="http://schemas.microsoft.com/office/drawing/2014/main" id="{CC37CA37-D937-B39E-30C0-79E885F2B123}"/>
            </a:ext>
          </a:extLst>
        </xdr:cNvPr>
        <xdr:cNvSpPr/>
      </xdr:nvSpPr>
      <xdr:spPr>
        <a:xfrm>
          <a:off x="1064894" y="2559896"/>
          <a:ext cx="2468880" cy="1351068"/>
        </a:xfrm>
        <a:prstGeom prst="roundRect">
          <a:avLst>
            <a:gd name="adj" fmla="val 491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274321</xdr:colOff>
      <xdr:row>0</xdr:row>
      <xdr:rowOff>74111</xdr:rowOff>
    </xdr:from>
    <xdr:to>
      <xdr:col>1</xdr:col>
      <xdr:colOff>184970</xdr:colOff>
      <xdr:row>3</xdr:row>
      <xdr:rowOff>45720</xdr:rowOff>
    </xdr:to>
    <xdr:pic>
      <xdr:nvPicPr>
        <xdr:cNvPr id="60" name="Picture 59">
          <a:extLst>
            <a:ext uri="{FF2B5EF4-FFF2-40B4-BE49-F238E27FC236}">
              <a16:creationId xmlns:a16="http://schemas.microsoft.com/office/drawing/2014/main" id="{2052E946-E1CC-8F30-CC27-C6690E70CA74}"/>
            </a:ext>
          </a:extLst>
        </xdr:cNvPr>
        <xdr:cNvPicPr>
          <a:picLocks noChangeAspect="1"/>
        </xdr:cNvPicPr>
      </xdr:nvPicPr>
      <xdr:blipFill>
        <a:blip xmlns:r="http://schemas.openxmlformats.org/officeDocument/2006/relationships" r:embed="rId1"/>
        <a:stretch>
          <a:fillRect/>
        </a:stretch>
      </xdr:blipFill>
      <xdr:spPr>
        <a:xfrm>
          <a:off x="274321" y="74111"/>
          <a:ext cx="520249" cy="520249"/>
        </a:xfrm>
        <a:prstGeom prst="rect">
          <a:avLst/>
        </a:prstGeom>
        <a:effectLst>
          <a:outerShdw blurRad="63500" sx="102000" sy="102000" algn="ctr" rotWithShape="0">
            <a:prstClr val="black">
              <a:alpha val="40000"/>
            </a:prstClr>
          </a:outerShdw>
        </a:effectLst>
      </xdr:spPr>
    </xdr:pic>
    <xdr:clientData/>
  </xdr:twoCellAnchor>
  <xdr:twoCellAnchor editAs="oneCell">
    <xdr:from>
      <xdr:col>14</xdr:col>
      <xdr:colOff>122601</xdr:colOff>
      <xdr:row>0</xdr:row>
      <xdr:rowOff>144781</xdr:rowOff>
    </xdr:from>
    <xdr:to>
      <xdr:col>14</xdr:col>
      <xdr:colOff>549320</xdr:colOff>
      <xdr:row>3</xdr:row>
      <xdr:rowOff>22860</xdr:rowOff>
    </xdr:to>
    <xdr:pic>
      <xdr:nvPicPr>
        <xdr:cNvPr id="61" name="Picture 60">
          <a:extLst>
            <a:ext uri="{FF2B5EF4-FFF2-40B4-BE49-F238E27FC236}">
              <a16:creationId xmlns:a16="http://schemas.microsoft.com/office/drawing/2014/main" id="{15847697-B9DA-4551-0409-35055698E963}"/>
            </a:ext>
          </a:extLst>
        </xdr:cNvPr>
        <xdr:cNvPicPr>
          <a:picLocks noChangeAspect="1"/>
        </xdr:cNvPicPr>
      </xdr:nvPicPr>
      <xdr:blipFill>
        <a:blip xmlns:r="http://schemas.openxmlformats.org/officeDocument/2006/relationships" r:embed="rId2"/>
        <a:stretch>
          <a:fillRect/>
        </a:stretch>
      </xdr:blipFill>
      <xdr:spPr>
        <a:xfrm>
          <a:off x="8657001" y="144781"/>
          <a:ext cx="426719" cy="426719"/>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twoCellAnchor>
    <xdr:from>
      <xdr:col>0</xdr:col>
      <xdr:colOff>38100</xdr:colOff>
      <xdr:row>0</xdr:row>
      <xdr:rowOff>30480</xdr:rowOff>
    </xdr:from>
    <xdr:to>
      <xdr:col>1</xdr:col>
      <xdr:colOff>419100</xdr:colOff>
      <xdr:row>3</xdr:row>
      <xdr:rowOff>68580</xdr:rowOff>
    </xdr:to>
    <xdr:sp macro="" textlink="">
      <xdr:nvSpPr>
        <xdr:cNvPr id="62" name="Rectangle 61">
          <a:extLst>
            <a:ext uri="{FF2B5EF4-FFF2-40B4-BE49-F238E27FC236}">
              <a16:creationId xmlns:a16="http://schemas.microsoft.com/office/drawing/2014/main" id="{D68736DA-DB2C-8A87-4BA3-E91E22BE91BF}"/>
            </a:ext>
          </a:extLst>
        </xdr:cNvPr>
        <xdr:cNvSpPr/>
      </xdr:nvSpPr>
      <xdr:spPr>
        <a:xfrm>
          <a:off x="38100" y="30480"/>
          <a:ext cx="990600" cy="586740"/>
        </a:xfrm>
        <a:prstGeom prst="rect">
          <a:avLst/>
        </a:prstGeom>
        <a:no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262889</xdr:colOff>
      <xdr:row>3</xdr:row>
      <xdr:rowOff>152400</xdr:rowOff>
    </xdr:from>
    <xdr:to>
      <xdr:col>5</xdr:col>
      <xdr:colOff>219074</xdr:colOff>
      <xdr:row>5</xdr:row>
      <xdr:rowOff>114300</xdr:rowOff>
    </xdr:to>
    <xdr:sp macro="" textlink="">
      <xdr:nvSpPr>
        <xdr:cNvPr id="63" name="TextBox 62">
          <a:extLst>
            <a:ext uri="{FF2B5EF4-FFF2-40B4-BE49-F238E27FC236}">
              <a16:creationId xmlns:a16="http://schemas.microsoft.com/office/drawing/2014/main" id="{DD985218-7B1C-E1E4-EC13-ACBE3EAC6140}"/>
            </a:ext>
          </a:extLst>
        </xdr:cNvPr>
        <xdr:cNvSpPr txBox="1"/>
      </xdr:nvSpPr>
      <xdr:spPr>
        <a:xfrm>
          <a:off x="1482089" y="695325"/>
          <a:ext cx="178498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latin typeface="Calibri" panose="020F0502020204030204" pitchFamily="34" charset="0"/>
              <a:ea typeface="Calibri" panose="020F0502020204030204" pitchFamily="34" charset="0"/>
              <a:cs typeface="Calibri" panose="020F0502020204030204" pitchFamily="34" charset="0"/>
            </a:rPr>
            <a:t>Total Employees</a:t>
          </a:r>
        </a:p>
      </xdr:txBody>
    </xdr:sp>
    <xdr:clientData/>
  </xdr:twoCellAnchor>
  <xdr:twoCellAnchor>
    <xdr:from>
      <xdr:col>5</xdr:col>
      <xdr:colOff>371475</xdr:colOff>
      <xdr:row>3</xdr:row>
      <xdr:rowOff>167640</xdr:rowOff>
    </xdr:from>
    <xdr:to>
      <xdr:col>8</xdr:col>
      <xdr:colOff>504825</xdr:colOff>
      <xdr:row>5</xdr:row>
      <xdr:rowOff>129540</xdr:rowOff>
    </xdr:to>
    <xdr:sp macro="" textlink="">
      <xdr:nvSpPr>
        <xdr:cNvPr id="64" name="TextBox 63">
          <a:extLst>
            <a:ext uri="{FF2B5EF4-FFF2-40B4-BE49-F238E27FC236}">
              <a16:creationId xmlns:a16="http://schemas.microsoft.com/office/drawing/2014/main" id="{EAB34631-1651-052B-5DF7-45DD3D793948}"/>
            </a:ext>
          </a:extLst>
        </xdr:cNvPr>
        <xdr:cNvSpPr txBox="1"/>
      </xdr:nvSpPr>
      <xdr:spPr>
        <a:xfrm>
          <a:off x="3419475" y="710565"/>
          <a:ext cx="19621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latin typeface="Calibri" panose="020F0502020204030204" pitchFamily="34" charset="0"/>
              <a:ea typeface="Calibri" panose="020F0502020204030204" pitchFamily="34" charset="0"/>
              <a:cs typeface="Calibri" panose="020F0502020204030204" pitchFamily="34" charset="0"/>
            </a:rPr>
            <a:t>Total</a:t>
          </a:r>
          <a:r>
            <a:rPr lang="en-IN" sz="1800" b="1" baseline="0">
              <a:solidFill>
                <a:schemeClr val="tx1"/>
              </a:solidFill>
              <a:latin typeface="Calibri" panose="020F0502020204030204" pitchFamily="34" charset="0"/>
              <a:ea typeface="Calibri" panose="020F0502020204030204" pitchFamily="34" charset="0"/>
              <a:cs typeface="Calibri" panose="020F0502020204030204" pitchFamily="34" charset="0"/>
            </a:rPr>
            <a:t> Present days</a:t>
          </a:r>
          <a:endParaRPr lang="en-IN" sz="18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100964</xdr:colOff>
      <xdr:row>4</xdr:row>
      <xdr:rowOff>17145</xdr:rowOff>
    </xdr:from>
    <xdr:to>
      <xdr:col>12</xdr:col>
      <xdr:colOff>266699</xdr:colOff>
      <xdr:row>5</xdr:row>
      <xdr:rowOff>160020</xdr:rowOff>
    </xdr:to>
    <xdr:sp macro="" textlink="">
      <xdr:nvSpPr>
        <xdr:cNvPr id="65" name="TextBox 64">
          <a:extLst>
            <a:ext uri="{FF2B5EF4-FFF2-40B4-BE49-F238E27FC236}">
              <a16:creationId xmlns:a16="http://schemas.microsoft.com/office/drawing/2014/main" id="{87900ECF-A0F7-93A2-91D7-80BC566CF2CD}"/>
            </a:ext>
          </a:extLst>
        </xdr:cNvPr>
        <xdr:cNvSpPr txBox="1"/>
      </xdr:nvSpPr>
      <xdr:spPr>
        <a:xfrm>
          <a:off x="5587364" y="741045"/>
          <a:ext cx="199453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rPr>
            <a:t>Total</a:t>
          </a:r>
          <a:r>
            <a:rPr lang="en-IN" sz="1800" b="1" baseline="0">
              <a:solidFill>
                <a:schemeClr val="tx1"/>
              </a:solidFill>
            </a:rPr>
            <a:t> Absent Days </a:t>
          </a:r>
          <a:endParaRPr lang="en-IN" sz="1800" b="1">
            <a:solidFill>
              <a:schemeClr val="tx1"/>
            </a:solidFill>
          </a:endParaRPr>
        </a:p>
      </xdr:txBody>
    </xdr:sp>
    <xdr:clientData/>
  </xdr:twoCellAnchor>
  <xdr:twoCellAnchor>
    <xdr:from>
      <xdr:col>12</xdr:col>
      <xdr:colOff>207917</xdr:colOff>
      <xdr:row>4</xdr:row>
      <xdr:rowOff>0</xdr:rowOff>
    </xdr:from>
    <xdr:to>
      <xdr:col>15</xdr:col>
      <xdr:colOff>483326</xdr:colOff>
      <xdr:row>8</xdr:row>
      <xdr:rowOff>119743</xdr:rowOff>
    </xdr:to>
    <xdr:sp macro="" textlink="">
      <xdr:nvSpPr>
        <xdr:cNvPr id="66" name="Rectangle: Rounded Corners 65">
          <a:extLst>
            <a:ext uri="{FF2B5EF4-FFF2-40B4-BE49-F238E27FC236}">
              <a16:creationId xmlns:a16="http://schemas.microsoft.com/office/drawing/2014/main" id="{AC4519BE-B921-377B-B594-097D2404F051}"/>
            </a:ext>
          </a:extLst>
        </xdr:cNvPr>
        <xdr:cNvSpPr/>
      </xdr:nvSpPr>
      <xdr:spPr>
        <a:xfrm>
          <a:off x="7523117" y="731520"/>
          <a:ext cx="2104209" cy="851263"/>
        </a:xfrm>
        <a:prstGeom prst="roundRect">
          <a:avLst>
            <a:gd name="adj" fmla="val 491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527685</xdr:colOff>
      <xdr:row>4</xdr:row>
      <xdr:rowOff>1905</xdr:rowOff>
    </xdr:from>
    <xdr:to>
      <xdr:col>16</xdr:col>
      <xdr:colOff>85725</xdr:colOff>
      <xdr:row>5</xdr:row>
      <xdr:rowOff>144780</xdr:rowOff>
    </xdr:to>
    <xdr:sp macro="" textlink="">
      <xdr:nvSpPr>
        <xdr:cNvPr id="67" name="TextBox 66">
          <a:extLst>
            <a:ext uri="{FF2B5EF4-FFF2-40B4-BE49-F238E27FC236}">
              <a16:creationId xmlns:a16="http://schemas.microsoft.com/office/drawing/2014/main" id="{5CC3837D-A206-F468-924E-A72E8C69248D}"/>
            </a:ext>
          </a:extLst>
        </xdr:cNvPr>
        <xdr:cNvSpPr txBox="1"/>
      </xdr:nvSpPr>
      <xdr:spPr>
        <a:xfrm>
          <a:off x="7842885" y="725805"/>
          <a:ext cx="199644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latin typeface="Calibri" panose="020F0502020204030204" pitchFamily="34" charset="0"/>
              <a:ea typeface="Calibri" panose="020F0502020204030204" pitchFamily="34" charset="0"/>
              <a:cs typeface="Calibri" panose="020F0502020204030204" pitchFamily="34" charset="0"/>
            </a:rPr>
            <a:t>Total </a:t>
          </a:r>
          <a:r>
            <a:rPr lang="en-IN" sz="1800" b="1" baseline="0">
              <a:solidFill>
                <a:schemeClr val="tx1"/>
              </a:solidFill>
              <a:latin typeface="Calibri" panose="020F0502020204030204" pitchFamily="34" charset="0"/>
              <a:ea typeface="Calibri" panose="020F0502020204030204" pitchFamily="34" charset="0"/>
              <a:cs typeface="Calibri" panose="020F0502020204030204" pitchFamily="34" charset="0"/>
            </a:rPr>
            <a:t>Leave Dyas </a:t>
          </a:r>
          <a:endParaRPr lang="en-IN" sz="18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527957</xdr:colOff>
      <xdr:row>4</xdr:row>
      <xdr:rowOff>0</xdr:rowOff>
    </xdr:from>
    <xdr:to>
      <xdr:col>19</xdr:col>
      <xdr:colOff>193766</xdr:colOff>
      <xdr:row>8</xdr:row>
      <xdr:rowOff>119743</xdr:rowOff>
    </xdr:to>
    <xdr:sp macro="" textlink="">
      <xdr:nvSpPr>
        <xdr:cNvPr id="68" name="Rectangle: Rounded Corners 67">
          <a:extLst>
            <a:ext uri="{FF2B5EF4-FFF2-40B4-BE49-F238E27FC236}">
              <a16:creationId xmlns:a16="http://schemas.microsoft.com/office/drawing/2014/main" id="{08F2A5EA-03DB-6FFA-E1F1-806B112D969C}"/>
            </a:ext>
          </a:extLst>
        </xdr:cNvPr>
        <xdr:cNvSpPr/>
      </xdr:nvSpPr>
      <xdr:spPr>
        <a:xfrm>
          <a:off x="9671957" y="731520"/>
          <a:ext cx="2104209" cy="851263"/>
        </a:xfrm>
        <a:prstGeom prst="roundRect">
          <a:avLst>
            <a:gd name="adj" fmla="val 491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379095</xdr:colOff>
      <xdr:row>3</xdr:row>
      <xdr:rowOff>158115</xdr:rowOff>
    </xdr:from>
    <xdr:to>
      <xdr:col>19</xdr:col>
      <xdr:colOff>165735</xdr:colOff>
      <xdr:row>5</xdr:row>
      <xdr:rowOff>120015</xdr:rowOff>
    </xdr:to>
    <xdr:sp macro="" textlink="">
      <xdr:nvSpPr>
        <xdr:cNvPr id="69" name="TextBox 68">
          <a:extLst>
            <a:ext uri="{FF2B5EF4-FFF2-40B4-BE49-F238E27FC236}">
              <a16:creationId xmlns:a16="http://schemas.microsoft.com/office/drawing/2014/main" id="{9D2DCC7D-F096-5767-4C4D-E5D9C8D97355}"/>
            </a:ext>
          </a:extLst>
        </xdr:cNvPr>
        <xdr:cNvSpPr txBox="1"/>
      </xdr:nvSpPr>
      <xdr:spPr>
        <a:xfrm>
          <a:off x="10132695" y="701040"/>
          <a:ext cx="161544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rPr>
            <a:t>Attendance</a:t>
          </a:r>
          <a:r>
            <a:rPr lang="en-IN" sz="1800" b="1" baseline="0">
              <a:solidFill>
                <a:schemeClr val="tx1"/>
              </a:solidFill>
            </a:rPr>
            <a:t> %</a:t>
          </a:r>
          <a:endParaRPr lang="en-IN" sz="1800" b="1">
            <a:solidFill>
              <a:schemeClr val="tx1"/>
            </a:solidFill>
          </a:endParaRPr>
        </a:p>
      </xdr:txBody>
    </xdr:sp>
    <xdr:clientData/>
  </xdr:twoCellAnchor>
  <xdr:twoCellAnchor>
    <xdr:from>
      <xdr:col>16</xdr:col>
      <xdr:colOff>163830</xdr:colOff>
      <xdr:row>8</xdr:row>
      <xdr:rowOff>144780</xdr:rowOff>
    </xdr:from>
    <xdr:to>
      <xdr:col>19</xdr:col>
      <xdr:colOff>285750</xdr:colOff>
      <xdr:row>10</xdr:row>
      <xdr:rowOff>108585</xdr:rowOff>
    </xdr:to>
    <xdr:sp macro="" textlink="">
      <xdr:nvSpPr>
        <xdr:cNvPr id="75" name="TextBox 74">
          <a:extLst>
            <a:ext uri="{FF2B5EF4-FFF2-40B4-BE49-F238E27FC236}">
              <a16:creationId xmlns:a16="http://schemas.microsoft.com/office/drawing/2014/main" id="{508FA8F3-75A0-AFDE-912D-3D11F14012F0}"/>
            </a:ext>
          </a:extLst>
        </xdr:cNvPr>
        <xdr:cNvSpPr txBox="1"/>
      </xdr:nvSpPr>
      <xdr:spPr>
        <a:xfrm>
          <a:off x="9917430" y="1592580"/>
          <a:ext cx="1950720" cy="325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latin typeface="Calibri" panose="020F0502020204030204" pitchFamily="34" charset="0"/>
              <a:ea typeface="Calibri" panose="020F0502020204030204" pitchFamily="34" charset="0"/>
              <a:cs typeface="Calibri" panose="020F0502020204030204" pitchFamily="34" charset="0"/>
            </a:rPr>
            <a:t>Total OT</a:t>
          </a:r>
          <a:r>
            <a:rPr lang="en-IN" sz="1800" b="1" baseline="0">
              <a:solidFill>
                <a:schemeClr val="tx1"/>
              </a:solidFill>
              <a:latin typeface="Calibri" panose="020F0502020204030204" pitchFamily="34" charset="0"/>
              <a:ea typeface="Calibri" panose="020F0502020204030204" pitchFamily="34" charset="0"/>
              <a:cs typeface="Calibri" panose="020F0502020204030204" pitchFamily="34" charset="0"/>
            </a:rPr>
            <a:t> Amount </a:t>
          </a:r>
          <a:endParaRPr lang="en-IN" sz="18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38100</xdr:colOff>
      <xdr:row>9</xdr:row>
      <xdr:rowOff>3810</xdr:rowOff>
    </xdr:from>
    <xdr:to>
      <xdr:col>15</xdr:col>
      <xdr:colOff>434340</xdr:colOff>
      <xdr:row>10</xdr:row>
      <xdr:rowOff>146685</xdr:rowOff>
    </xdr:to>
    <xdr:sp macro="" textlink="">
      <xdr:nvSpPr>
        <xdr:cNvPr id="77" name="TextBox 76">
          <a:extLst>
            <a:ext uri="{FF2B5EF4-FFF2-40B4-BE49-F238E27FC236}">
              <a16:creationId xmlns:a16="http://schemas.microsoft.com/office/drawing/2014/main" id="{501244BF-2F9F-7877-26AD-4EDB8D7C2B33}"/>
            </a:ext>
          </a:extLst>
        </xdr:cNvPr>
        <xdr:cNvSpPr txBox="1"/>
      </xdr:nvSpPr>
      <xdr:spPr>
        <a:xfrm>
          <a:off x="7962900" y="1632585"/>
          <a:ext cx="161544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latin typeface="Calibri" panose="020F0502020204030204" pitchFamily="34" charset="0"/>
              <a:ea typeface="Calibri" panose="020F0502020204030204" pitchFamily="34" charset="0"/>
              <a:cs typeface="Calibri" panose="020F0502020204030204" pitchFamily="34" charset="0"/>
            </a:rPr>
            <a:t>Total</a:t>
          </a:r>
          <a:r>
            <a:rPr lang="en-IN" sz="1800" b="1" baseline="0">
              <a:solidFill>
                <a:schemeClr val="tx1"/>
              </a:solidFill>
              <a:latin typeface="Calibri" panose="020F0502020204030204" pitchFamily="34" charset="0"/>
              <a:ea typeface="Calibri" panose="020F0502020204030204" pitchFamily="34" charset="0"/>
              <a:cs typeface="Calibri" panose="020F0502020204030204" pitchFamily="34" charset="0"/>
            </a:rPr>
            <a:t> OT Hours </a:t>
          </a:r>
          <a:endParaRPr lang="en-IN" sz="18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514350</xdr:colOff>
      <xdr:row>9</xdr:row>
      <xdr:rowOff>0</xdr:rowOff>
    </xdr:from>
    <xdr:to>
      <xdr:col>12</xdr:col>
      <xdr:colOff>300990</xdr:colOff>
      <xdr:row>10</xdr:row>
      <xdr:rowOff>142875</xdr:rowOff>
    </xdr:to>
    <xdr:sp macro="" textlink="">
      <xdr:nvSpPr>
        <xdr:cNvPr id="79" name="TextBox 78">
          <a:extLst>
            <a:ext uri="{FF2B5EF4-FFF2-40B4-BE49-F238E27FC236}">
              <a16:creationId xmlns:a16="http://schemas.microsoft.com/office/drawing/2014/main" id="{323D47FC-6521-88EA-E5E5-BDAFFE103D85}"/>
            </a:ext>
          </a:extLst>
        </xdr:cNvPr>
        <xdr:cNvSpPr txBox="1"/>
      </xdr:nvSpPr>
      <xdr:spPr>
        <a:xfrm>
          <a:off x="6000750" y="1628775"/>
          <a:ext cx="161544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rPr>
            <a:t>Net</a:t>
          </a:r>
          <a:r>
            <a:rPr lang="en-IN" sz="1800" b="1" baseline="0">
              <a:solidFill>
                <a:schemeClr val="tx1"/>
              </a:solidFill>
            </a:rPr>
            <a:t> Salary </a:t>
          </a:r>
          <a:endParaRPr lang="en-IN" sz="1800" b="1">
            <a:solidFill>
              <a:schemeClr val="tx1"/>
            </a:solidFill>
          </a:endParaRPr>
        </a:p>
      </xdr:txBody>
    </xdr:sp>
    <xdr:clientData/>
  </xdr:twoCellAnchor>
  <xdr:twoCellAnchor>
    <xdr:from>
      <xdr:col>6</xdr:col>
      <xdr:colOff>100965</xdr:colOff>
      <xdr:row>8</xdr:row>
      <xdr:rowOff>142875</xdr:rowOff>
    </xdr:from>
    <xdr:to>
      <xdr:col>8</xdr:col>
      <xdr:colOff>497205</xdr:colOff>
      <xdr:row>10</xdr:row>
      <xdr:rowOff>104775</xdr:rowOff>
    </xdr:to>
    <xdr:sp macro="" textlink="">
      <xdr:nvSpPr>
        <xdr:cNvPr id="81" name="TextBox 80">
          <a:extLst>
            <a:ext uri="{FF2B5EF4-FFF2-40B4-BE49-F238E27FC236}">
              <a16:creationId xmlns:a16="http://schemas.microsoft.com/office/drawing/2014/main" id="{5A08C9CF-FAE4-4FCE-2BDE-B018FC79F9C2}"/>
            </a:ext>
          </a:extLst>
        </xdr:cNvPr>
        <xdr:cNvSpPr txBox="1"/>
      </xdr:nvSpPr>
      <xdr:spPr>
        <a:xfrm>
          <a:off x="3758565" y="1590675"/>
          <a:ext cx="161544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latin typeface="Calibri" panose="020F0502020204030204" pitchFamily="34" charset="0"/>
              <a:ea typeface="Calibri" panose="020F0502020204030204" pitchFamily="34" charset="0"/>
              <a:cs typeface="Calibri" panose="020F0502020204030204" pitchFamily="34" charset="0"/>
            </a:rPr>
            <a:t>Gross</a:t>
          </a:r>
          <a:r>
            <a:rPr lang="en-IN" sz="1800" b="1" baseline="0">
              <a:solidFill>
                <a:schemeClr val="tx1"/>
              </a:solidFill>
              <a:latin typeface="Calibri" panose="020F0502020204030204" pitchFamily="34" charset="0"/>
              <a:ea typeface="Calibri" panose="020F0502020204030204" pitchFamily="34" charset="0"/>
              <a:cs typeface="Calibri" panose="020F0502020204030204" pitchFamily="34" charset="0"/>
            </a:rPr>
            <a:t> Salary </a:t>
          </a:r>
          <a:endParaRPr lang="en-IN" sz="18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264794</xdr:colOff>
      <xdr:row>8</xdr:row>
      <xdr:rowOff>152400</xdr:rowOff>
    </xdr:from>
    <xdr:to>
      <xdr:col>5</xdr:col>
      <xdr:colOff>171449</xdr:colOff>
      <xdr:row>10</xdr:row>
      <xdr:rowOff>114300</xdr:rowOff>
    </xdr:to>
    <xdr:sp macro="" textlink="">
      <xdr:nvSpPr>
        <xdr:cNvPr id="83" name="TextBox 82">
          <a:extLst>
            <a:ext uri="{FF2B5EF4-FFF2-40B4-BE49-F238E27FC236}">
              <a16:creationId xmlns:a16="http://schemas.microsoft.com/office/drawing/2014/main" id="{99DC4D9D-4E8C-CA20-0834-A887C0B8D570}"/>
            </a:ext>
          </a:extLst>
        </xdr:cNvPr>
        <xdr:cNvSpPr txBox="1"/>
      </xdr:nvSpPr>
      <xdr:spPr>
        <a:xfrm>
          <a:off x="1483994" y="1600200"/>
          <a:ext cx="173545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latin typeface="Calibri" panose="020F0502020204030204" pitchFamily="34" charset="0"/>
              <a:ea typeface="Calibri" panose="020F0502020204030204" pitchFamily="34" charset="0"/>
              <a:cs typeface="Calibri" panose="020F0502020204030204" pitchFamily="34" charset="0"/>
            </a:rPr>
            <a:t>Total</a:t>
          </a:r>
          <a:r>
            <a:rPr lang="en-IN" sz="1800" b="1" baseline="0">
              <a:solidFill>
                <a:schemeClr val="tx1"/>
              </a:solidFill>
              <a:latin typeface="Calibri" panose="020F0502020204030204" pitchFamily="34" charset="0"/>
              <a:ea typeface="Calibri" panose="020F0502020204030204" pitchFamily="34" charset="0"/>
              <a:cs typeface="Calibri" panose="020F0502020204030204" pitchFamily="34" charset="0"/>
            </a:rPr>
            <a:t> Late Days </a:t>
          </a:r>
          <a:endParaRPr lang="en-IN" sz="18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xdr:col>
      <xdr:colOff>510540</xdr:colOff>
      <xdr:row>5</xdr:row>
      <xdr:rowOff>78105</xdr:rowOff>
    </xdr:from>
    <xdr:to>
      <xdr:col>2</xdr:col>
      <xdr:colOff>390525</xdr:colOff>
      <xdr:row>8</xdr:row>
      <xdr:rowOff>19365</xdr:rowOff>
    </xdr:to>
    <xdr:pic>
      <xdr:nvPicPr>
        <xdr:cNvPr id="84" name="Picture 83">
          <a:extLst>
            <a:ext uri="{FF2B5EF4-FFF2-40B4-BE49-F238E27FC236}">
              <a16:creationId xmlns:a16="http://schemas.microsoft.com/office/drawing/2014/main" id="{5B0203DB-D3AC-0860-DE37-9DD0F5F9E21D}"/>
            </a:ext>
          </a:extLst>
        </xdr:cNvPr>
        <xdr:cNvPicPr>
          <a:picLocks noChangeAspect="1"/>
        </xdr:cNvPicPr>
      </xdr:nvPicPr>
      <xdr:blipFill>
        <a:blip xmlns:r="http://schemas.openxmlformats.org/officeDocument/2006/relationships" r:embed="rId3"/>
        <a:stretch>
          <a:fillRect/>
        </a:stretch>
      </xdr:blipFill>
      <xdr:spPr>
        <a:xfrm>
          <a:off x="1120140" y="982980"/>
          <a:ext cx="489585" cy="484185"/>
        </a:xfrm>
        <a:prstGeom prst="rect">
          <a:avLst/>
        </a:prstGeom>
      </xdr:spPr>
    </xdr:pic>
    <xdr:clientData/>
  </xdr:twoCellAnchor>
  <xdr:twoCellAnchor editAs="oneCell">
    <xdr:from>
      <xdr:col>5</xdr:col>
      <xdr:colOff>192405</xdr:colOff>
      <xdr:row>5</xdr:row>
      <xdr:rowOff>97156</xdr:rowOff>
    </xdr:from>
    <xdr:to>
      <xdr:col>6</xdr:col>
      <xdr:colOff>47625</xdr:colOff>
      <xdr:row>8</xdr:row>
      <xdr:rowOff>14141</xdr:rowOff>
    </xdr:to>
    <xdr:pic>
      <xdr:nvPicPr>
        <xdr:cNvPr id="85" name="Picture 84">
          <a:extLst>
            <a:ext uri="{FF2B5EF4-FFF2-40B4-BE49-F238E27FC236}">
              <a16:creationId xmlns:a16="http://schemas.microsoft.com/office/drawing/2014/main" id="{05504792-6529-5019-8A37-C20908170032}"/>
            </a:ext>
          </a:extLst>
        </xdr:cNvPr>
        <xdr:cNvPicPr>
          <a:picLocks noChangeAspect="1"/>
        </xdr:cNvPicPr>
      </xdr:nvPicPr>
      <xdr:blipFill>
        <a:blip xmlns:r="http://schemas.openxmlformats.org/officeDocument/2006/relationships" r:embed="rId4"/>
        <a:stretch>
          <a:fillRect/>
        </a:stretch>
      </xdr:blipFill>
      <xdr:spPr>
        <a:xfrm>
          <a:off x="3240405" y="1002031"/>
          <a:ext cx="464820" cy="459910"/>
        </a:xfrm>
        <a:prstGeom prst="rect">
          <a:avLst/>
        </a:prstGeom>
      </xdr:spPr>
    </xdr:pic>
    <xdr:clientData/>
  </xdr:twoCellAnchor>
  <xdr:twoCellAnchor editAs="oneCell">
    <xdr:from>
      <xdr:col>12</xdr:col>
      <xdr:colOff>249555</xdr:colOff>
      <xdr:row>5</xdr:row>
      <xdr:rowOff>173355</xdr:rowOff>
    </xdr:from>
    <xdr:to>
      <xdr:col>13</xdr:col>
      <xdr:colOff>47625</xdr:colOff>
      <xdr:row>8</xdr:row>
      <xdr:rowOff>33849</xdr:rowOff>
    </xdr:to>
    <xdr:pic>
      <xdr:nvPicPr>
        <xdr:cNvPr id="87" name="Picture 86">
          <a:extLst>
            <a:ext uri="{FF2B5EF4-FFF2-40B4-BE49-F238E27FC236}">
              <a16:creationId xmlns:a16="http://schemas.microsoft.com/office/drawing/2014/main" id="{B5B1CBAC-6984-5DB5-A20E-4E11BCECA028}"/>
            </a:ext>
          </a:extLst>
        </xdr:cNvPr>
        <xdr:cNvPicPr>
          <a:picLocks noChangeAspect="1"/>
        </xdr:cNvPicPr>
      </xdr:nvPicPr>
      <xdr:blipFill>
        <a:blip xmlns:r="http://schemas.openxmlformats.org/officeDocument/2006/relationships" r:embed="rId5"/>
        <a:stretch>
          <a:fillRect/>
        </a:stretch>
      </xdr:blipFill>
      <xdr:spPr>
        <a:xfrm>
          <a:off x="7564755" y="1078230"/>
          <a:ext cx="407670" cy="403419"/>
        </a:xfrm>
        <a:prstGeom prst="rect">
          <a:avLst/>
        </a:prstGeom>
      </xdr:spPr>
    </xdr:pic>
    <xdr:clientData/>
  </xdr:twoCellAnchor>
  <xdr:twoCellAnchor editAs="oneCell">
    <xdr:from>
      <xdr:col>16</xdr:col>
      <xdr:colOff>22861</xdr:colOff>
      <xdr:row>5</xdr:row>
      <xdr:rowOff>141651</xdr:rowOff>
    </xdr:from>
    <xdr:to>
      <xdr:col>16</xdr:col>
      <xdr:colOff>437924</xdr:colOff>
      <xdr:row>8</xdr:row>
      <xdr:rowOff>9525</xdr:rowOff>
    </xdr:to>
    <xdr:pic>
      <xdr:nvPicPr>
        <xdr:cNvPr id="89" name="Picture 88">
          <a:extLst>
            <a:ext uri="{FF2B5EF4-FFF2-40B4-BE49-F238E27FC236}">
              <a16:creationId xmlns:a16="http://schemas.microsoft.com/office/drawing/2014/main" id="{C52A602F-4ED7-16E4-68B2-9A27CD06BE9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776461" y="1046526"/>
          <a:ext cx="415063" cy="410799"/>
        </a:xfrm>
        <a:prstGeom prst="rect">
          <a:avLst/>
        </a:prstGeom>
      </xdr:spPr>
    </xdr:pic>
    <xdr:clientData/>
  </xdr:twoCellAnchor>
  <xdr:twoCellAnchor editAs="oneCell">
    <xdr:from>
      <xdr:col>1</xdr:col>
      <xdr:colOff>533400</xdr:colOff>
      <xdr:row>10</xdr:row>
      <xdr:rowOff>76205</xdr:rowOff>
    </xdr:from>
    <xdr:to>
      <xdr:col>2</xdr:col>
      <xdr:colOff>337564</xdr:colOff>
      <xdr:row>12</xdr:row>
      <xdr:rowOff>123825</xdr:rowOff>
    </xdr:to>
    <xdr:pic>
      <xdr:nvPicPr>
        <xdr:cNvPr id="90" name="Picture 89">
          <a:extLst>
            <a:ext uri="{FF2B5EF4-FFF2-40B4-BE49-F238E27FC236}">
              <a16:creationId xmlns:a16="http://schemas.microsoft.com/office/drawing/2014/main" id="{35D4F54D-29D2-CDC2-A8F1-79AE724F84C9}"/>
            </a:ext>
          </a:extLst>
        </xdr:cNvPr>
        <xdr:cNvPicPr>
          <a:picLocks noChangeAspect="1"/>
        </xdr:cNvPicPr>
      </xdr:nvPicPr>
      <xdr:blipFill>
        <a:blip xmlns:r="http://schemas.openxmlformats.org/officeDocument/2006/relationships" r:embed="rId7"/>
        <a:stretch>
          <a:fillRect/>
        </a:stretch>
      </xdr:blipFill>
      <xdr:spPr>
        <a:xfrm>
          <a:off x="1143000" y="1885955"/>
          <a:ext cx="413764" cy="409570"/>
        </a:xfrm>
        <a:prstGeom prst="rect">
          <a:avLst/>
        </a:prstGeom>
      </xdr:spPr>
    </xdr:pic>
    <xdr:clientData/>
  </xdr:twoCellAnchor>
  <xdr:twoCellAnchor editAs="oneCell">
    <xdr:from>
      <xdr:col>5</xdr:col>
      <xdr:colOff>205740</xdr:colOff>
      <xdr:row>10</xdr:row>
      <xdr:rowOff>121709</xdr:rowOff>
    </xdr:from>
    <xdr:to>
      <xdr:col>5</xdr:col>
      <xdr:colOff>604152</xdr:colOff>
      <xdr:row>12</xdr:row>
      <xdr:rowOff>152401</xdr:rowOff>
    </xdr:to>
    <xdr:pic>
      <xdr:nvPicPr>
        <xdr:cNvPr id="91" name="Picture 90">
          <a:extLst>
            <a:ext uri="{FF2B5EF4-FFF2-40B4-BE49-F238E27FC236}">
              <a16:creationId xmlns:a16="http://schemas.microsoft.com/office/drawing/2014/main" id="{CFA70937-C4F5-5776-A388-226A321BDD9E}"/>
            </a:ext>
          </a:extLst>
        </xdr:cNvPr>
        <xdr:cNvPicPr>
          <a:picLocks noChangeAspect="1"/>
        </xdr:cNvPicPr>
      </xdr:nvPicPr>
      <xdr:blipFill>
        <a:blip xmlns:r="http://schemas.openxmlformats.org/officeDocument/2006/relationships" r:embed="rId8"/>
        <a:stretch>
          <a:fillRect/>
        </a:stretch>
      </xdr:blipFill>
      <xdr:spPr>
        <a:xfrm>
          <a:off x="3253740" y="1931459"/>
          <a:ext cx="398412" cy="392642"/>
        </a:xfrm>
        <a:prstGeom prst="rect">
          <a:avLst/>
        </a:prstGeom>
      </xdr:spPr>
    </xdr:pic>
    <xdr:clientData/>
  </xdr:twoCellAnchor>
  <xdr:twoCellAnchor editAs="oneCell">
    <xdr:from>
      <xdr:col>8</xdr:col>
      <xdr:colOff>584835</xdr:colOff>
      <xdr:row>10</xdr:row>
      <xdr:rowOff>110490</xdr:rowOff>
    </xdr:from>
    <xdr:to>
      <xdr:col>9</xdr:col>
      <xdr:colOff>361950</xdr:colOff>
      <xdr:row>12</xdr:row>
      <xdr:rowOff>130421</xdr:rowOff>
    </xdr:to>
    <xdr:pic>
      <xdr:nvPicPr>
        <xdr:cNvPr id="92" name="Picture 91">
          <a:extLst>
            <a:ext uri="{FF2B5EF4-FFF2-40B4-BE49-F238E27FC236}">
              <a16:creationId xmlns:a16="http://schemas.microsoft.com/office/drawing/2014/main" id="{885B109A-CE5D-3981-510E-CD511D980A83}"/>
            </a:ext>
          </a:extLst>
        </xdr:cNvPr>
        <xdr:cNvPicPr>
          <a:picLocks noChangeAspect="1"/>
        </xdr:cNvPicPr>
      </xdr:nvPicPr>
      <xdr:blipFill>
        <a:blip xmlns:r="http://schemas.openxmlformats.org/officeDocument/2006/relationships" r:embed="rId9"/>
        <a:stretch>
          <a:fillRect/>
        </a:stretch>
      </xdr:blipFill>
      <xdr:spPr>
        <a:xfrm>
          <a:off x="5461635" y="1920240"/>
          <a:ext cx="386715" cy="381881"/>
        </a:xfrm>
        <a:prstGeom prst="rect">
          <a:avLst/>
        </a:prstGeom>
      </xdr:spPr>
    </xdr:pic>
    <xdr:clientData/>
  </xdr:twoCellAnchor>
  <xdr:twoCellAnchor editAs="oneCell">
    <xdr:from>
      <xdr:col>12</xdr:col>
      <xdr:colOff>247653</xdr:colOff>
      <xdr:row>10</xdr:row>
      <xdr:rowOff>104776</xdr:rowOff>
    </xdr:from>
    <xdr:to>
      <xdr:col>13</xdr:col>
      <xdr:colOff>95251</xdr:colOff>
      <xdr:row>13</xdr:row>
      <xdr:rowOff>19049</xdr:rowOff>
    </xdr:to>
    <xdr:pic>
      <xdr:nvPicPr>
        <xdr:cNvPr id="93" name="Picture 92">
          <a:extLst>
            <a:ext uri="{FF2B5EF4-FFF2-40B4-BE49-F238E27FC236}">
              <a16:creationId xmlns:a16="http://schemas.microsoft.com/office/drawing/2014/main" id="{8E2626F0-FD8C-1223-74CB-A29785D33A57}"/>
            </a:ext>
          </a:extLst>
        </xdr:cNvPr>
        <xdr:cNvPicPr>
          <a:picLocks noChangeAspect="1"/>
        </xdr:cNvPicPr>
      </xdr:nvPicPr>
      <xdr:blipFill>
        <a:blip xmlns:r="http://schemas.openxmlformats.org/officeDocument/2006/relationships" r:embed="rId10"/>
        <a:stretch>
          <a:fillRect/>
        </a:stretch>
      </xdr:blipFill>
      <xdr:spPr>
        <a:xfrm>
          <a:off x="7562853" y="1914526"/>
          <a:ext cx="457198" cy="457198"/>
        </a:xfrm>
        <a:prstGeom prst="rect">
          <a:avLst/>
        </a:prstGeom>
      </xdr:spPr>
    </xdr:pic>
    <xdr:clientData/>
  </xdr:twoCellAnchor>
  <xdr:twoCellAnchor editAs="oneCell">
    <xdr:from>
      <xdr:col>15</xdr:col>
      <xdr:colOff>590550</xdr:colOff>
      <xdr:row>10</xdr:row>
      <xdr:rowOff>151789</xdr:rowOff>
    </xdr:from>
    <xdr:to>
      <xdr:col>16</xdr:col>
      <xdr:colOff>371475</xdr:colOff>
      <xdr:row>13</xdr:row>
      <xdr:rowOff>2564</xdr:rowOff>
    </xdr:to>
    <xdr:pic>
      <xdr:nvPicPr>
        <xdr:cNvPr id="94" name="Picture 93">
          <a:extLst>
            <a:ext uri="{FF2B5EF4-FFF2-40B4-BE49-F238E27FC236}">
              <a16:creationId xmlns:a16="http://schemas.microsoft.com/office/drawing/2014/main" id="{D80666BB-0A75-1909-915B-63A3B56B939A}"/>
            </a:ext>
          </a:extLst>
        </xdr:cNvPr>
        <xdr:cNvPicPr>
          <a:picLocks noChangeAspect="1"/>
        </xdr:cNvPicPr>
      </xdr:nvPicPr>
      <xdr:blipFill>
        <a:blip xmlns:r="http://schemas.openxmlformats.org/officeDocument/2006/relationships" r:embed="rId11"/>
        <a:stretch>
          <a:fillRect/>
        </a:stretch>
      </xdr:blipFill>
      <xdr:spPr>
        <a:xfrm>
          <a:off x="9734550" y="1961539"/>
          <a:ext cx="390525" cy="390525"/>
        </a:xfrm>
        <a:prstGeom prst="rect">
          <a:avLst/>
        </a:prstGeom>
      </xdr:spPr>
    </xdr:pic>
    <xdr:clientData/>
  </xdr:twoCellAnchor>
  <xdr:twoCellAnchor>
    <xdr:from>
      <xdr:col>2</xdr:col>
      <xdr:colOff>596265</xdr:colOff>
      <xdr:row>5</xdr:row>
      <xdr:rowOff>93344</xdr:rowOff>
    </xdr:from>
    <xdr:to>
      <xdr:col>4</xdr:col>
      <xdr:colOff>361950</xdr:colOff>
      <xdr:row>7</xdr:row>
      <xdr:rowOff>133350</xdr:rowOff>
    </xdr:to>
    <xdr:sp macro="" textlink="'Pivot Table '!A4">
      <xdr:nvSpPr>
        <xdr:cNvPr id="95" name="TextBox 94">
          <a:extLst>
            <a:ext uri="{FF2B5EF4-FFF2-40B4-BE49-F238E27FC236}">
              <a16:creationId xmlns:a16="http://schemas.microsoft.com/office/drawing/2014/main" id="{CB00E39E-D8F7-247A-654B-1CAB74A7AC1C}"/>
            </a:ext>
          </a:extLst>
        </xdr:cNvPr>
        <xdr:cNvSpPr txBox="1"/>
      </xdr:nvSpPr>
      <xdr:spPr>
        <a:xfrm>
          <a:off x="1815465" y="998219"/>
          <a:ext cx="984885" cy="401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43E3210-74F1-4EF0-96B7-878EC82C24A9}" type="TxLink">
            <a:rPr lang="en-US" sz="2800" b="1" i="0" u="none" strike="noStrike">
              <a:solidFill>
                <a:schemeClr val="tx1"/>
              </a:solidFill>
              <a:latin typeface="Aptos Narrow"/>
            </a:rPr>
            <a:pPr algn="ctr"/>
            <a:t>124</a:t>
          </a:fld>
          <a:endParaRPr lang="en-IN" sz="4800" b="1">
            <a:solidFill>
              <a:schemeClr val="tx1"/>
            </a:solidFill>
          </a:endParaRPr>
        </a:p>
      </xdr:txBody>
    </xdr:sp>
    <xdr:clientData/>
  </xdr:twoCellAnchor>
  <xdr:twoCellAnchor>
    <xdr:from>
      <xdr:col>6</xdr:col>
      <xdr:colOff>299085</xdr:colOff>
      <xdr:row>5</xdr:row>
      <xdr:rowOff>116204</xdr:rowOff>
    </xdr:from>
    <xdr:to>
      <xdr:col>8</xdr:col>
      <xdr:colOff>200025</xdr:colOff>
      <xdr:row>8</xdr:row>
      <xdr:rowOff>28574</xdr:rowOff>
    </xdr:to>
    <xdr:sp macro="" textlink="'Pivot Table '!C4">
      <xdr:nvSpPr>
        <xdr:cNvPr id="96" name="TextBox 95">
          <a:extLst>
            <a:ext uri="{FF2B5EF4-FFF2-40B4-BE49-F238E27FC236}">
              <a16:creationId xmlns:a16="http://schemas.microsoft.com/office/drawing/2014/main" id="{5A428A1F-6232-B796-974E-9F111666433A}"/>
            </a:ext>
          </a:extLst>
        </xdr:cNvPr>
        <xdr:cNvSpPr txBox="1"/>
      </xdr:nvSpPr>
      <xdr:spPr>
        <a:xfrm>
          <a:off x="3956685" y="1021079"/>
          <a:ext cx="1120140" cy="455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4DCD51-9B92-45D1-B641-A7C0A4CBD130}" type="TxLink">
            <a:rPr lang="en-US" sz="2800" b="1" i="0" u="none" strike="noStrike">
              <a:solidFill>
                <a:schemeClr val="tx1"/>
              </a:solidFill>
              <a:latin typeface="Aptos Narrow"/>
            </a:rPr>
            <a:pPr/>
            <a:t>2302</a:t>
          </a:fld>
          <a:endParaRPr lang="en-IN" sz="4400" b="1">
            <a:solidFill>
              <a:schemeClr val="tx1"/>
            </a:solidFill>
          </a:endParaRPr>
        </a:p>
      </xdr:txBody>
    </xdr:sp>
    <xdr:clientData/>
  </xdr:twoCellAnchor>
  <xdr:twoCellAnchor>
    <xdr:from>
      <xdr:col>10</xdr:col>
      <xdr:colOff>122555</xdr:colOff>
      <xdr:row>5</xdr:row>
      <xdr:rowOff>128058</xdr:rowOff>
    </xdr:from>
    <xdr:to>
      <xdr:col>12</xdr:col>
      <xdr:colOff>23495</xdr:colOff>
      <xdr:row>8</xdr:row>
      <xdr:rowOff>78317</xdr:rowOff>
    </xdr:to>
    <xdr:sp macro="" textlink="'Pivot Table '!D4">
      <xdr:nvSpPr>
        <xdr:cNvPr id="97" name="TextBox 96">
          <a:extLst>
            <a:ext uri="{FF2B5EF4-FFF2-40B4-BE49-F238E27FC236}">
              <a16:creationId xmlns:a16="http://schemas.microsoft.com/office/drawing/2014/main" id="{8C3D5EDA-6F57-5DB4-4256-A18B73F43B49}"/>
            </a:ext>
          </a:extLst>
        </xdr:cNvPr>
        <xdr:cNvSpPr txBox="1"/>
      </xdr:nvSpPr>
      <xdr:spPr>
        <a:xfrm>
          <a:off x="6218555" y="1032933"/>
          <a:ext cx="1120140" cy="493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61D328-6797-4268-87EC-DEE299A5E249}" type="TxLink">
            <a:rPr lang="en-US" sz="2800" b="1" i="0" u="none" strike="noStrike">
              <a:solidFill>
                <a:schemeClr val="tx1"/>
              </a:solidFill>
              <a:latin typeface="Aptos Narrow"/>
            </a:rPr>
            <a:pPr/>
            <a:t>128</a:t>
          </a:fld>
          <a:endParaRPr lang="en-IN" sz="4800" b="1">
            <a:solidFill>
              <a:schemeClr val="tx1"/>
            </a:solidFill>
          </a:endParaRPr>
        </a:p>
      </xdr:txBody>
    </xdr:sp>
    <xdr:clientData/>
  </xdr:twoCellAnchor>
  <xdr:twoCellAnchor>
    <xdr:from>
      <xdr:col>13</xdr:col>
      <xdr:colOff>487045</xdr:colOff>
      <xdr:row>5</xdr:row>
      <xdr:rowOff>133985</xdr:rowOff>
    </xdr:from>
    <xdr:to>
      <xdr:col>15</xdr:col>
      <xdr:colOff>387985</xdr:colOff>
      <xdr:row>8</xdr:row>
      <xdr:rowOff>157692</xdr:rowOff>
    </xdr:to>
    <xdr:sp macro="" textlink="'Pivot Table '!B4">
      <xdr:nvSpPr>
        <xdr:cNvPr id="100" name="TextBox 99">
          <a:extLst>
            <a:ext uri="{FF2B5EF4-FFF2-40B4-BE49-F238E27FC236}">
              <a16:creationId xmlns:a16="http://schemas.microsoft.com/office/drawing/2014/main" id="{94B19912-E947-4D7E-94FC-13056ACF86EA}"/>
            </a:ext>
          </a:extLst>
        </xdr:cNvPr>
        <xdr:cNvSpPr txBox="1"/>
      </xdr:nvSpPr>
      <xdr:spPr>
        <a:xfrm>
          <a:off x="8411845" y="1038860"/>
          <a:ext cx="1120140" cy="566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D8BAF9-2B85-46BA-A527-1D729F37F6B7}" type="TxLink">
            <a:rPr lang="en-US" sz="2800" b="1" i="0" u="none" strike="noStrike">
              <a:solidFill>
                <a:schemeClr val="tx1"/>
              </a:solidFill>
              <a:latin typeface="Aptos Narrow"/>
            </a:rPr>
            <a:pPr/>
            <a:t>135</a:t>
          </a:fld>
          <a:endParaRPr lang="en-IN" sz="4800" b="1">
            <a:solidFill>
              <a:schemeClr val="tx1"/>
            </a:solidFill>
          </a:endParaRPr>
        </a:p>
      </xdr:txBody>
    </xdr:sp>
    <xdr:clientData/>
  </xdr:twoCellAnchor>
  <xdr:twoCellAnchor>
    <xdr:from>
      <xdr:col>17</xdr:col>
      <xdr:colOff>30056</xdr:colOff>
      <xdr:row>5</xdr:row>
      <xdr:rowOff>119169</xdr:rowOff>
    </xdr:from>
    <xdr:to>
      <xdr:col>18</xdr:col>
      <xdr:colOff>540596</xdr:colOff>
      <xdr:row>8</xdr:row>
      <xdr:rowOff>9525</xdr:rowOff>
    </xdr:to>
    <xdr:sp macro="" textlink="'Pivot Table '!A7">
      <xdr:nvSpPr>
        <xdr:cNvPr id="104" name="TextBox 103">
          <a:extLst>
            <a:ext uri="{FF2B5EF4-FFF2-40B4-BE49-F238E27FC236}">
              <a16:creationId xmlns:a16="http://schemas.microsoft.com/office/drawing/2014/main" id="{2DAF990C-3DFF-F959-30AD-55DFAC358A8B}"/>
            </a:ext>
          </a:extLst>
        </xdr:cNvPr>
        <xdr:cNvSpPr txBox="1"/>
      </xdr:nvSpPr>
      <xdr:spPr>
        <a:xfrm>
          <a:off x="10393256" y="1024044"/>
          <a:ext cx="1120140" cy="433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CBF473-FEE9-43E3-84A9-B66085B42247}" type="TxLink">
            <a:rPr lang="en-US" sz="2800" b="1" i="0" u="none" strike="noStrike">
              <a:solidFill>
                <a:schemeClr val="tx1"/>
              </a:solidFill>
              <a:effectLst/>
              <a:latin typeface="Aptos Narrow"/>
            </a:rPr>
            <a:pPr/>
            <a:t>89.75%</a:t>
          </a:fld>
          <a:endParaRPr lang="en-IN" sz="4800" b="1">
            <a:solidFill>
              <a:schemeClr val="tx1"/>
            </a:solidFill>
          </a:endParaRPr>
        </a:p>
      </xdr:txBody>
    </xdr:sp>
    <xdr:clientData/>
  </xdr:twoCellAnchor>
  <xdr:twoCellAnchor>
    <xdr:from>
      <xdr:col>17</xdr:col>
      <xdr:colOff>164465</xdr:colOff>
      <xdr:row>10</xdr:row>
      <xdr:rowOff>119803</xdr:rowOff>
    </xdr:from>
    <xdr:to>
      <xdr:col>19</xdr:col>
      <xdr:colOff>301625</xdr:colOff>
      <xdr:row>13</xdr:row>
      <xdr:rowOff>57150</xdr:rowOff>
    </xdr:to>
    <xdr:sp macro="" textlink="'Pivot Table '!E10">
      <xdr:nvSpPr>
        <xdr:cNvPr id="105" name="TextBox 104">
          <a:extLst>
            <a:ext uri="{FF2B5EF4-FFF2-40B4-BE49-F238E27FC236}">
              <a16:creationId xmlns:a16="http://schemas.microsoft.com/office/drawing/2014/main" id="{5A8F1645-7DEB-2FB4-2DE9-CBFB049FC583}"/>
            </a:ext>
          </a:extLst>
        </xdr:cNvPr>
        <xdr:cNvSpPr txBox="1"/>
      </xdr:nvSpPr>
      <xdr:spPr>
        <a:xfrm>
          <a:off x="10527665" y="1929553"/>
          <a:ext cx="1356360" cy="480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8453DA-CC6B-4D9A-B9E1-4B2301296912}" type="TxLink">
            <a:rPr lang="en-US" sz="2800" b="1" i="0" u="none" strike="noStrike">
              <a:solidFill>
                <a:schemeClr val="tx1"/>
              </a:solidFill>
              <a:latin typeface="Aptos Narrow"/>
            </a:rPr>
            <a:pPr/>
            <a:t>6.5L</a:t>
          </a:fld>
          <a:endParaRPr lang="en-IN" sz="4800" b="1">
            <a:solidFill>
              <a:schemeClr val="tx1"/>
            </a:solidFill>
          </a:endParaRPr>
        </a:p>
      </xdr:txBody>
    </xdr:sp>
    <xdr:clientData/>
  </xdr:twoCellAnchor>
  <xdr:twoCellAnchor>
    <xdr:from>
      <xdr:col>13</xdr:col>
      <xdr:colOff>352425</xdr:colOff>
      <xdr:row>10</xdr:row>
      <xdr:rowOff>120861</xdr:rowOff>
    </xdr:from>
    <xdr:to>
      <xdr:col>15</xdr:col>
      <xdr:colOff>511387</xdr:colOff>
      <xdr:row>12</xdr:row>
      <xdr:rowOff>147108</xdr:rowOff>
    </xdr:to>
    <xdr:sp macro="" textlink="'Pivot Table '!G7">
      <xdr:nvSpPr>
        <xdr:cNvPr id="106" name="TextBox 105">
          <a:extLst>
            <a:ext uri="{FF2B5EF4-FFF2-40B4-BE49-F238E27FC236}">
              <a16:creationId xmlns:a16="http://schemas.microsoft.com/office/drawing/2014/main" id="{2D146392-2209-3EDC-F10C-9101B80B57F2}"/>
            </a:ext>
          </a:extLst>
        </xdr:cNvPr>
        <xdr:cNvSpPr txBox="1"/>
      </xdr:nvSpPr>
      <xdr:spPr>
        <a:xfrm>
          <a:off x="8277225" y="1930611"/>
          <a:ext cx="1378162" cy="388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BB7A9D-02E7-4757-B4D2-AF9547B4D2FB}" type="TxLink">
            <a:rPr lang="en-US" sz="2800" b="1" i="0" u="none" strike="noStrike">
              <a:solidFill>
                <a:schemeClr val="tx1"/>
              </a:solidFill>
              <a:latin typeface="Aptos Narrow"/>
            </a:rPr>
            <a:pPr/>
            <a:t> 25,960 </a:t>
          </a:fld>
          <a:endParaRPr lang="en-IN" sz="4400" b="1">
            <a:solidFill>
              <a:schemeClr val="tx1"/>
            </a:solidFill>
          </a:endParaRPr>
        </a:p>
      </xdr:txBody>
    </xdr:sp>
    <xdr:clientData/>
  </xdr:twoCellAnchor>
  <xdr:twoCellAnchor>
    <xdr:from>
      <xdr:col>10</xdr:col>
      <xdr:colOff>14816</xdr:colOff>
      <xdr:row>10</xdr:row>
      <xdr:rowOff>121920</xdr:rowOff>
    </xdr:from>
    <xdr:to>
      <xdr:col>12</xdr:col>
      <xdr:colOff>495299</xdr:colOff>
      <xdr:row>12</xdr:row>
      <xdr:rowOff>161925</xdr:rowOff>
    </xdr:to>
    <xdr:sp macro="" textlink="'Pivot Table '!E7">
      <xdr:nvSpPr>
        <xdr:cNvPr id="107" name="TextBox 106">
          <a:extLst>
            <a:ext uri="{FF2B5EF4-FFF2-40B4-BE49-F238E27FC236}">
              <a16:creationId xmlns:a16="http://schemas.microsoft.com/office/drawing/2014/main" id="{3FC91316-E999-4D4C-8F24-8EB780D2AB31}"/>
            </a:ext>
          </a:extLst>
        </xdr:cNvPr>
        <xdr:cNvSpPr txBox="1"/>
      </xdr:nvSpPr>
      <xdr:spPr>
        <a:xfrm>
          <a:off x="6110816" y="1931670"/>
          <a:ext cx="1699683" cy="401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7B4361-90CC-43C0-8AD5-65032CAD2D7C}" type="TxLink">
            <a:rPr lang="en-US" sz="2800" b="1" i="0" u="none" strike="noStrike">
              <a:solidFill>
                <a:schemeClr val="tx1"/>
              </a:solidFill>
              <a:latin typeface="Aptos Narrow"/>
            </a:rPr>
            <a:pPr/>
            <a:t>157.9L</a:t>
          </a:fld>
          <a:endParaRPr lang="en-IN" sz="4800" b="1">
            <a:solidFill>
              <a:schemeClr val="tx1"/>
            </a:solidFill>
          </a:endParaRPr>
        </a:p>
      </xdr:txBody>
    </xdr:sp>
    <xdr:clientData/>
  </xdr:twoCellAnchor>
  <xdr:twoCellAnchor>
    <xdr:from>
      <xdr:col>6</xdr:col>
      <xdr:colOff>305860</xdr:colOff>
      <xdr:row>10</xdr:row>
      <xdr:rowOff>122766</xdr:rowOff>
    </xdr:from>
    <xdr:to>
      <xdr:col>9</xdr:col>
      <xdr:colOff>247650</xdr:colOff>
      <xdr:row>12</xdr:row>
      <xdr:rowOff>173566</xdr:rowOff>
    </xdr:to>
    <xdr:sp macro="" textlink="'Pivot Table '!C7">
      <xdr:nvSpPr>
        <xdr:cNvPr id="108" name="TextBox 107">
          <a:extLst>
            <a:ext uri="{FF2B5EF4-FFF2-40B4-BE49-F238E27FC236}">
              <a16:creationId xmlns:a16="http://schemas.microsoft.com/office/drawing/2014/main" id="{242DC0FE-E820-DC32-DCCA-0557DA74829E}"/>
            </a:ext>
          </a:extLst>
        </xdr:cNvPr>
        <xdr:cNvSpPr txBox="1"/>
      </xdr:nvSpPr>
      <xdr:spPr>
        <a:xfrm>
          <a:off x="3963460" y="1932516"/>
          <a:ext cx="177059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1F391E-45AE-4F47-8CF7-77250384E429}" type="TxLink">
            <a:rPr lang="en-US" sz="2800" b="1" i="0" u="none" strike="noStrike">
              <a:solidFill>
                <a:schemeClr val="tx1"/>
              </a:solidFill>
              <a:effectLst/>
              <a:latin typeface="Aptos Narrow"/>
              <a:ea typeface="+mn-ea"/>
              <a:cs typeface="+mn-cs"/>
            </a:rPr>
            <a:pPr/>
            <a:t>178.2L</a:t>
          </a:fld>
          <a:endParaRPr lang="en-IN" sz="2800" b="1">
            <a:solidFill>
              <a:schemeClr val="tx1"/>
            </a:solidFill>
          </a:endParaRPr>
        </a:p>
      </xdr:txBody>
    </xdr:sp>
    <xdr:clientData/>
  </xdr:twoCellAnchor>
  <xdr:twoCellAnchor>
    <xdr:from>
      <xdr:col>3</xdr:col>
      <xdr:colOff>106892</xdr:colOff>
      <xdr:row>10</xdr:row>
      <xdr:rowOff>84243</xdr:rowOff>
    </xdr:from>
    <xdr:to>
      <xdr:col>5</xdr:col>
      <xdr:colOff>7832</xdr:colOff>
      <xdr:row>12</xdr:row>
      <xdr:rowOff>144992</xdr:rowOff>
    </xdr:to>
    <xdr:sp macro="" textlink="'Pivot Table '!E4">
      <xdr:nvSpPr>
        <xdr:cNvPr id="109" name="TextBox 108">
          <a:extLst>
            <a:ext uri="{FF2B5EF4-FFF2-40B4-BE49-F238E27FC236}">
              <a16:creationId xmlns:a16="http://schemas.microsoft.com/office/drawing/2014/main" id="{18387225-568F-7870-C57C-F9BF5EF22F3B}"/>
            </a:ext>
          </a:extLst>
        </xdr:cNvPr>
        <xdr:cNvSpPr txBox="1"/>
      </xdr:nvSpPr>
      <xdr:spPr>
        <a:xfrm>
          <a:off x="1935692" y="1893993"/>
          <a:ext cx="1120140" cy="422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09F98E-54AA-416A-9BD7-111CA31E6B0F}" type="TxLink">
            <a:rPr lang="en-US" sz="2800" b="1" i="0" u="none" strike="noStrike">
              <a:solidFill>
                <a:schemeClr val="tx1"/>
              </a:solidFill>
              <a:effectLst/>
              <a:latin typeface="Aptos Narrow"/>
            </a:rPr>
            <a:pPr/>
            <a:t>163</a:t>
          </a:fld>
          <a:endParaRPr lang="en-IN" sz="4800" b="1">
            <a:solidFill>
              <a:schemeClr val="tx1"/>
            </a:solidFill>
          </a:endParaRPr>
        </a:p>
      </xdr:txBody>
    </xdr:sp>
    <xdr:clientData/>
  </xdr:twoCellAnchor>
  <xdr:twoCellAnchor>
    <xdr:from>
      <xdr:col>5</xdr:col>
      <xdr:colOff>548427</xdr:colOff>
      <xdr:row>13</xdr:row>
      <xdr:rowOff>175261</xdr:rowOff>
    </xdr:from>
    <xdr:to>
      <xdr:col>10</xdr:col>
      <xdr:colOff>213360</xdr:colOff>
      <xdr:row>21</xdr:row>
      <xdr:rowOff>60961</xdr:rowOff>
    </xdr:to>
    <xdr:sp macro="" textlink="">
      <xdr:nvSpPr>
        <xdr:cNvPr id="110" name="Rectangle: Rounded Corners 109">
          <a:extLst>
            <a:ext uri="{FF2B5EF4-FFF2-40B4-BE49-F238E27FC236}">
              <a16:creationId xmlns:a16="http://schemas.microsoft.com/office/drawing/2014/main" id="{5C390B3D-8BB5-03DF-5630-25F6FFCDF144}"/>
            </a:ext>
          </a:extLst>
        </xdr:cNvPr>
        <xdr:cNvSpPr/>
      </xdr:nvSpPr>
      <xdr:spPr>
        <a:xfrm>
          <a:off x="3596427" y="2552701"/>
          <a:ext cx="2712933" cy="1348740"/>
        </a:xfrm>
        <a:prstGeom prst="roundRect">
          <a:avLst>
            <a:gd name="adj" fmla="val 491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463760</xdr:colOff>
      <xdr:row>21</xdr:row>
      <xdr:rowOff>106256</xdr:rowOff>
    </xdr:from>
    <xdr:to>
      <xdr:col>5</xdr:col>
      <xdr:colOff>474134</xdr:colOff>
      <xdr:row>32</xdr:row>
      <xdr:rowOff>76200</xdr:rowOff>
    </xdr:to>
    <xdr:sp macro="" textlink="">
      <xdr:nvSpPr>
        <xdr:cNvPr id="111" name="Rectangle: Rounded Corners 110">
          <a:extLst>
            <a:ext uri="{FF2B5EF4-FFF2-40B4-BE49-F238E27FC236}">
              <a16:creationId xmlns:a16="http://schemas.microsoft.com/office/drawing/2014/main" id="{6E785DB1-EAB9-75C9-0922-68D88F600221}"/>
            </a:ext>
          </a:extLst>
        </xdr:cNvPr>
        <xdr:cNvSpPr/>
      </xdr:nvSpPr>
      <xdr:spPr>
        <a:xfrm>
          <a:off x="1073360" y="3946736"/>
          <a:ext cx="2448774" cy="1981624"/>
        </a:xfrm>
        <a:prstGeom prst="roundRect">
          <a:avLst>
            <a:gd name="adj" fmla="val 491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396875</xdr:colOff>
      <xdr:row>14</xdr:row>
      <xdr:rowOff>2116</xdr:rowOff>
    </xdr:from>
    <xdr:to>
      <xdr:col>19</xdr:col>
      <xdr:colOff>228600</xdr:colOff>
      <xdr:row>21</xdr:row>
      <xdr:rowOff>71330</xdr:rowOff>
    </xdr:to>
    <xdr:sp macro="" textlink="">
      <xdr:nvSpPr>
        <xdr:cNvPr id="112" name="Rectangle: Rounded Corners 111">
          <a:extLst>
            <a:ext uri="{FF2B5EF4-FFF2-40B4-BE49-F238E27FC236}">
              <a16:creationId xmlns:a16="http://schemas.microsoft.com/office/drawing/2014/main" id="{C23D4011-DC5A-EDD3-21E9-CEA09728FDB5}"/>
            </a:ext>
          </a:extLst>
        </xdr:cNvPr>
        <xdr:cNvSpPr/>
      </xdr:nvSpPr>
      <xdr:spPr>
        <a:xfrm>
          <a:off x="9540875" y="2491316"/>
          <a:ext cx="2270125" cy="1313814"/>
        </a:xfrm>
        <a:prstGeom prst="roundRect">
          <a:avLst>
            <a:gd name="adj" fmla="val 491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464819</xdr:colOff>
      <xdr:row>14</xdr:row>
      <xdr:rowOff>152400</xdr:rowOff>
    </xdr:from>
    <xdr:to>
      <xdr:col>5</xdr:col>
      <xdr:colOff>433492</xdr:colOff>
      <xdr:row>21</xdr:row>
      <xdr:rowOff>106680</xdr:rowOff>
    </xdr:to>
    <xdr:graphicFrame macro="">
      <xdr:nvGraphicFramePr>
        <xdr:cNvPr id="113" name="Chart 112">
          <a:extLst>
            <a:ext uri="{FF2B5EF4-FFF2-40B4-BE49-F238E27FC236}">
              <a16:creationId xmlns:a16="http://schemas.microsoft.com/office/drawing/2014/main" id="{2A8197A9-6C84-482F-81CB-FB369F2BD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502920</xdr:colOff>
      <xdr:row>23</xdr:row>
      <xdr:rowOff>22860</xdr:rowOff>
    </xdr:from>
    <xdr:to>
      <xdr:col>5</xdr:col>
      <xdr:colOff>431801</xdr:colOff>
      <xdr:row>32</xdr:row>
      <xdr:rowOff>30479</xdr:rowOff>
    </xdr:to>
    <xdr:graphicFrame macro="">
      <xdr:nvGraphicFramePr>
        <xdr:cNvPr id="5" name="Chart 4">
          <a:extLst>
            <a:ext uri="{FF2B5EF4-FFF2-40B4-BE49-F238E27FC236}">
              <a16:creationId xmlns:a16="http://schemas.microsoft.com/office/drawing/2014/main" id="{1EFF4FC3-D90F-4971-B564-D015BEE46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129540</xdr:colOff>
      <xdr:row>14</xdr:row>
      <xdr:rowOff>0</xdr:rowOff>
    </xdr:from>
    <xdr:to>
      <xdr:col>5</xdr:col>
      <xdr:colOff>594360</xdr:colOff>
      <xdr:row>15</xdr:row>
      <xdr:rowOff>106680</xdr:rowOff>
    </xdr:to>
    <xdr:sp macro="" textlink="">
      <xdr:nvSpPr>
        <xdr:cNvPr id="11" name="TextBox 10">
          <a:extLst>
            <a:ext uri="{FF2B5EF4-FFF2-40B4-BE49-F238E27FC236}">
              <a16:creationId xmlns:a16="http://schemas.microsoft.com/office/drawing/2014/main" id="{98AED492-8807-5997-A463-643613F9E4F2}"/>
            </a:ext>
          </a:extLst>
        </xdr:cNvPr>
        <xdr:cNvSpPr txBox="1"/>
      </xdr:nvSpPr>
      <xdr:spPr>
        <a:xfrm>
          <a:off x="1348740" y="2560320"/>
          <a:ext cx="2293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Dept. wise Employee</a:t>
          </a:r>
          <a:r>
            <a:rPr lang="en-IN" sz="1200" b="1" baseline="0">
              <a:solidFill>
                <a:schemeClr val="tx1"/>
              </a:solidFill>
            </a:rPr>
            <a:t> Analysis</a:t>
          </a:r>
          <a:endParaRPr lang="en-IN" sz="1200" b="1">
            <a:solidFill>
              <a:schemeClr val="tx1"/>
            </a:solidFill>
          </a:endParaRPr>
        </a:p>
      </xdr:txBody>
    </xdr:sp>
    <xdr:clientData/>
  </xdr:twoCellAnchor>
  <xdr:twoCellAnchor>
    <xdr:from>
      <xdr:col>2</xdr:col>
      <xdr:colOff>327660</xdr:colOff>
      <xdr:row>21</xdr:row>
      <xdr:rowOff>83820</xdr:rowOff>
    </xdr:from>
    <xdr:to>
      <xdr:col>6</xdr:col>
      <xdr:colOff>182880</xdr:colOff>
      <xdr:row>23</xdr:row>
      <xdr:rowOff>7620</xdr:rowOff>
    </xdr:to>
    <xdr:sp macro="" textlink="">
      <xdr:nvSpPr>
        <xdr:cNvPr id="12" name="TextBox 11">
          <a:extLst>
            <a:ext uri="{FF2B5EF4-FFF2-40B4-BE49-F238E27FC236}">
              <a16:creationId xmlns:a16="http://schemas.microsoft.com/office/drawing/2014/main" id="{E5AC0CD1-1533-94F7-42C8-F48ECADFA5C8}"/>
            </a:ext>
          </a:extLst>
        </xdr:cNvPr>
        <xdr:cNvSpPr txBox="1"/>
      </xdr:nvSpPr>
      <xdr:spPr>
        <a:xfrm>
          <a:off x="1546860" y="3924300"/>
          <a:ext cx="2293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Dept</a:t>
          </a:r>
          <a:r>
            <a:rPr lang="en-IN" sz="1200" b="1">
              <a:solidFill>
                <a:schemeClr val="bg1"/>
              </a:solidFill>
            </a:rPr>
            <a:t>. </a:t>
          </a:r>
          <a:r>
            <a:rPr lang="en-IN" sz="1200" b="1">
              <a:solidFill>
                <a:schemeClr val="tx1"/>
              </a:solidFill>
            </a:rPr>
            <a:t>wise</a:t>
          </a:r>
          <a:r>
            <a:rPr lang="en-IN" sz="1200" b="1">
              <a:solidFill>
                <a:schemeClr val="bg1"/>
              </a:solidFill>
            </a:rPr>
            <a:t> </a:t>
          </a:r>
          <a:r>
            <a:rPr lang="en-IN" sz="1200" b="1">
              <a:solidFill>
                <a:schemeClr val="tx1"/>
              </a:solidFill>
            </a:rPr>
            <a:t>Attendance</a:t>
          </a:r>
        </a:p>
      </xdr:txBody>
    </xdr:sp>
    <xdr:clientData/>
  </xdr:twoCellAnchor>
  <xdr:twoCellAnchor>
    <xdr:from>
      <xdr:col>6</xdr:col>
      <xdr:colOff>335280</xdr:colOff>
      <xdr:row>13</xdr:row>
      <xdr:rowOff>160020</xdr:rowOff>
    </xdr:from>
    <xdr:to>
      <xdr:col>10</xdr:col>
      <xdr:colOff>190500</xdr:colOff>
      <xdr:row>15</xdr:row>
      <xdr:rowOff>83820</xdr:rowOff>
    </xdr:to>
    <xdr:sp macro="" textlink="">
      <xdr:nvSpPr>
        <xdr:cNvPr id="14" name="TextBox 13">
          <a:extLst>
            <a:ext uri="{FF2B5EF4-FFF2-40B4-BE49-F238E27FC236}">
              <a16:creationId xmlns:a16="http://schemas.microsoft.com/office/drawing/2014/main" id="{BC0430C2-EECB-4FA3-C9E8-8CB1AF79AE6B}"/>
            </a:ext>
          </a:extLst>
        </xdr:cNvPr>
        <xdr:cNvSpPr txBox="1"/>
      </xdr:nvSpPr>
      <xdr:spPr>
        <a:xfrm>
          <a:off x="3992880" y="2537460"/>
          <a:ext cx="2293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Location</a:t>
          </a:r>
          <a:r>
            <a:rPr lang="en-IN" sz="1200" b="1" baseline="0">
              <a:solidFill>
                <a:schemeClr val="bg1"/>
              </a:solidFill>
            </a:rPr>
            <a:t> </a:t>
          </a:r>
          <a:r>
            <a:rPr lang="en-IN" sz="1200" b="1">
              <a:solidFill>
                <a:schemeClr val="bg1"/>
              </a:solidFill>
            </a:rPr>
            <a:t> </a:t>
          </a:r>
          <a:r>
            <a:rPr lang="en-IN" sz="1200" b="1">
              <a:solidFill>
                <a:schemeClr val="tx1"/>
              </a:solidFill>
            </a:rPr>
            <a:t>wise Attendance</a:t>
          </a:r>
        </a:p>
      </xdr:txBody>
    </xdr:sp>
    <xdr:clientData/>
  </xdr:twoCellAnchor>
  <xdr:twoCellAnchor>
    <xdr:from>
      <xdr:col>2</xdr:col>
      <xdr:colOff>487680</xdr:colOff>
      <xdr:row>32</xdr:row>
      <xdr:rowOff>0</xdr:rowOff>
    </xdr:from>
    <xdr:to>
      <xdr:col>6</xdr:col>
      <xdr:colOff>342900</xdr:colOff>
      <xdr:row>33</xdr:row>
      <xdr:rowOff>106680</xdr:rowOff>
    </xdr:to>
    <xdr:sp macro="" textlink="">
      <xdr:nvSpPr>
        <xdr:cNvPr id="15" name="TextBox 14">
          <a:extLst>
            <a:ext uri="{FF2B5EF4-FFF2-40B4-BE49-F238E27FC236}">
              <a16:creationId xmlns:a16="http://schemas.microsoft.com/office/drawing/2014/main" id="{CD591DF4-35E9-DE80-D658-E950A13DD423}"/>
            </a:ext>
          </a:extLst>
        </xdr:cNvPr>
        <xdr:cNvSpPr txBox="1"/>
      </xdr:nvSpPr>
      <xdr:spPr>
        <a:xfrm>
          <a:off x="1706880" y="5852160"/>
          <a:ext cx="2293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solidFill>
              <a:schemeClr val="bg1"/>
            </a:solidFill>
          </a:endParaRPr>
        </a:p>
      </xdr:txBody>
    </xdr:sp>
    <xdr:clientData/>
  </xdr:twoCellAnchor>
  <xdr:twoCellAnchor>
    <xdr:from>
      <xdr:col>3</xdr:col>
      <xdr:colOff>30480</xdr:colOff>
      <xdr:row>32</xdr:row>
      <xdr:rowOff>152400</xdr:rowOff>
    </xdr:from>
    <xdr:to>
      <xdr:col>6</xdr:col>
      <xdr:colOff>495300</xdr:colOff>
      <xdr:row>34</xdr:row>
      <xdr:rowOff>76200</xdr:rowOff>
    </xdr:to>
    <xdr:sp macro="" textlink="">
      <xdr:nvSpPr>
        <xdr:cNvPr id="16" name="TextBox 15">
          <a:extLst>
            <a:ext uri="{FF2B5EF4-FFF2-40B4-BE49-F238E27FC236}">
              <a16:creationId xmlns:a16="http://schemas.microsoft.com/office/drawing/2014/main" id="{AEB4647D-DE68-ED1C-AC03-BF7B2C8ACB42}"/>
            </a:ext>
          </a:extLst>
        </xdr:cNvPr>
        <xdr:cNvSpPr txBox="1"/>
      </xdr:nvSpPr>
      <xdr:spPr>
        <a:xfrm>
          <a:off x="1859280" y="6004560"/>
          <a:ext cx="2293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solidFill>
              <a:schemeClr val="bg1"/>
            </a:solidFill>
          </a:endParaRPr>
        </a:p>
      </xdr:txBody>
    </xdr:sp>
    <xdr:clientData/>
  </xdr:twoCellAnchor>
  <xdr:twoCellAnchor>
    <xdr:from>
      <xdr:col>3</xdr:col>
      <xdr:colOff>182880</xdr:colOff>
      <xdr:row>33</xdr:row>
      <xdr:rowOff>121920</xdr:rowOff>
    </xdr:from>
    <xdr:to>
      <xdr:col>7</xdr:col>
      <xdr:colOff>38100</xdr:colOff>
      <xdr:row>35</xdr:row>
      <xdr:rowOff>45720</xdr:rowOff>
    </xdr:to>
    <xdr:sp macro="" textlink="">
      <xdr:nvSpPr>
        <xdr:cNvPr id="17" name="TextBox 16">
          <a:extLst>
            <a:ext uri="{FF2B5EF4-FFF2-40B4-BE49-F238E27FC236}">
              <a16:creationId xmlns:a16="http://schemas.microsoft.com/office/drawing/2014/main" id="{6CE60F15-95FB-6D9F-E987-445F6FF0B1CF}"/>
            </a:ext>
          </a:extLst>
        </xdr:cNvPr>
        <xdr:cNvSpPr txBox="1"/>
      </xdr:nvSpPr>
      <xdr:spPr>
        <a:xfrm>
          <a:off x="2011680" y="6156960"/>
          <a:ext cx="2293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solidFill>
              <a:schemeClr val="bg1"/>
            </a:solidFill>
          </a:endParaRPr>
        </a:p>
      </xdr:txBody>
    </xdr:sp>
    <xdr:clientData/>
  </xdr:twoCellAnchor>
  <xdr:twoCellAnchor>
    <xdr:from>
      <xdr:col>3</xdr:col>
      <xdr:colOff>335280</xdr:colOff>
      <xdr:row>34</xdr:row>
      <xdr:rowOff>91440</xdr:rowOff>
    </xdr:from>
    <xdr:to>
      <xdr:col>7</xdr:col>
      <xdr:colOff>190500</xdr:colOff>
      <xdr:row>36</xdr:row>
      <xdr:rowOff>15240</xdr:rowOff>
    </xdr:to>
    <xdr:sp macro="" textlink="">
      <xdr:nvSpPr>
        <xdr:cNvPr id="19" name="TextBox 18">
          <a:extLst>
            <a:ext uri="{FF2B5EF4-FFF2-40B4-BE49-F238E27FC236}">
              <a16:creationId xmlns:a16="http://schemas.microsoft.com/office/drawing/2014/main" id="{7D8C8A69-BAC5-5E42-730E-2B4A2CDF556A}"/>
            </a:ext>
          </a:extLst>
        </xdr:cNvPr>
        <xdr:cNvSpPr txBox="1"/>
      </xdr:nvSpPr>
      <xdr:spPr>
        <a:xfrm>
          <a:off x="2164080" y="6309360"/>
          <a:ext cx="2293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solidFill>
              <a:schemeClr val="bg1"/>
            </a:solidFill>
          </a:endParaRPr>
        </a:p>
      </xdr:txBody>
    </xdr:sp>
    <xdr:clientData/>
  </xdr:twoCellAnchor>
  <xdr:twoCellAnchor>
    <xdr:from>
      <xdr:col>3</xdr:col>
      <xdr:colOff>487680</xdr:colOff>
      <xdr:row>35</xdr:row>
      <xdr:rowOff>60960</xdr:rowOff>
    </xdr:from>
    <xdr:to>
      <xdr:col>7</xdr:col>
      <xdr:colOff>342900</xdr:colOff>
      <xdr:row>36</xdr:row>
      <xdr:rowOff>167640</xdr:rowOff>
    </xdr:to>
    <xdr:sp macro="" textlink="">
      <xdr:nvSpPr>
        <xdr:cNvPr id="20" name="TextBox 19">
          <a:extLst>
            <a:ext uri="{FF2B5EF4-FFF2-40B4-BE49-F238E27FC236}">
              <a16:creationId xmlns:a16="http://schemas.microsoft.com/office/drawing/2014/main" id="{1A977702-017E-2A2A-FBD9-0E5988FEC798}"/>
            </a:ext>
          </a:extLst>
        </xdr:cNvPr>
        <xdr:cNvSpPr txBox="1"/>
      </xdr:nvSpPr>
      <xdr:spPr>
        <a:xfrm>
          <a:off x="2316480" y="6461760"/>
          <a:ext cx="2293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solidFill>
              <a:schemeClr val="bg1"/>
            </a:solidFill>
          </a:endParaRPr>
        </a:p>
      </xdr:txBody>
    </xdr:sp>
    <xdr:clientData/>
  </xdr:twoCellAnchor>
  <xdr:twoCellAnchor>
    <xdr:from>
      <xdr:col>4</xdr:col>
      <xdr:colOff>30480</xdr:colOff>
      <xdr:row>36</xdr:row>
      <xdr:rowOff>30480</xdr:rowOff>
    </xdr:from>
    <xdr:to>
      <xdr:col>7</xdr:col>
      <xdr:colOff>495300</xdr:colOff>
      <xdr:row>37</xdr:row>
      <xdr:rowOff>137160</xdr:rowOff>
    </xdr:to>
    <xdr:sp macro="" textlink="">
      <xdr:nvSpPr>
        <xdr:cNvPr id="21" name="TextBox 20">
          <a:extLst>
            <a:ext uri="{FF2B5EF4-FFF2-40B4-BE49-F238E27FC236}">
              <a16:creationId xmlns:a16="http://schemas.microsoft.com/office/drawing/2014/main" id="{87430B81-2C2A-287C-6871-9CA2B6830A58}"/>
            </a:ext>
          </a:extLst>
        </xdr:cNvPr>
        <xdr:cNvSpPr txBox="1"/>
      </xdr:nvSpPr>
      <xdr:spPr>
        <a:xfrm>
          <a:off x="2468880" y="6614160"/>
          <a:ext cx="2293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solidFill>
              <a:schemeClr val="bg1"/>
            </a:solidFill>
          </a:endParaRPr>
        </a:p>
      </xdr:txBody>
    </xdr:sp>
    <xdr:clientData/>
  </xdr:twoCellAnchor>
  <xdr:twoCellAnchor>
    <xdr:from>
      <xdr:col>4</xdr:col>
      <xdr:colOff>182880</xdr:colOff>
      <xdr:row>37</xdr:row>
      <xdr:rowOff>0</xdr:rowOff>
    </xdr:from>
    <xdr:to>
      <xdr:col>8</xdr:col>
      <xdr:colOff>38100</xdr:colOff>
      <xdr:row>38</xdr:row>
      <xdr:rowOff>106680</xdr:rowOff>
    </xdr:to>
    <xdr:sp macro="" textlink="">
      <xdr:nvSpPr>
        <xdr:cNvPr id="22" name="TextBox 21">
          <a:extLst>
            <a:ext uri="{FF2B5EF4-FFF2-40B4-BE49-F238E27FC236}">
              <a16:creationId xmlns:a16="http://schemas.microsoft.com/office/drawing/2014/main" id="{74287866-B93D-7943-DB1A-FF2EBD6ABA54}"/>
            </a:ext>
          </a:extLst>
        </xdr:cNvPr>
        <xdr:cNvSpPr txBox="1"/>
      </xdr:nvSpPr>
      <xdr:spPr>
        <a:xfrm>
          <a:off x="2621280" y="6766560"/>
          <a:ext cx="2293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solidFill>
              <a:schemeClr val="bg1"/>
            </a:solidFill>
          </a:endParaRPr>
        </a:p>
      </xdr:txBody>
    </xdr:sp>
    <xdr:clientData/>
  </xdr:twoCellAnchor>
  <xdr:twoCellAnchor>
    <xdr:from>
      <xdr:col>4</xdr:col>
      <xdr:colOff>335280</xdr:colOff>
      <xdr:row>37</xdr:row>
      <xdr:rowOff>152400</xdr:rowOff>
    </xdr:from>
    <xdr:to>
      <xdr:col>8</xdr:col>
      <xdr:colOff>190500</xdr:colOff>
      <xdr:row>39</xdr:row>
      <xdr:rowOff>76200</xdr:rowOff>
    </xdr:to>
    <xdr:sp macro="" textlink="">
      <xdr:nvSpPr>
        <xdr:cNvPr id="23" name="TextBox 22">
          <a:extLst>
            <a:ext uri="{FF2B5EF4-FFF2-40B4-BE49-F238E27FC236}">
              <a16:creationId xmlns:a16="http://schemas.microsoft.com/office/drawing/2014/main" id="{982142FF-4B4D-306E-B79E-A10EB6BF8E10}"/>
            </a:ext>
          </a:extLst>
        </xdr:cNvPr>
        <xdr:cNvSpPr txBox="1"/>
      </xdr:nvSpPr>
      <xdr:spPr>
        <a:xfrm>
          <a:off x="2773680" y="6918960"/>
          <a:ext cx="2293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solidFill>
              <a:schemeClr val="bg1"/>
            </a:solidFill>
          </a:endParaRPr>
        </a:p>
      </xdr:txBody>
    </xdr:sp>
    <xdr:clientData/>
  </xdr:twoCellAnchor>
  <xdr:twoCellAnchor>
    <xdr:from>
      <xdr:col>15</xdr:col>
      <xdr:colOff>411480</xdr:colOff>
      <xdr:row>15</xdr:row>
      <xdr:rowOff>99060</xdr:rowOff>
    </xdr:from>
    <xdr:to>
      <xdr:col>19</xdr:col>
      <xdr:colOff>205740</xdr:colOff>
      <xdr:row>21</xdr:row>
      <xdr:rowOff>45720</xdr:rowOff>
    </xdr:to>
    <xdr:graphicFrame macro="">
      <xdr:nvGraphicFramePr>
        <xdr:cNvPr id="24" name="Chart 23">
          <a:extLst>
            <a:ext uri="{FF2B5EF4-FFF2-40B4-BE49-F238E27FC236}">
              <a16:creationId xmlns:a16="http://schemas.microsoft.com/office/drawing/2014/main" id="{75FBC164-CD9D-4D63-B8CE-0844B8FB2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0</xdr:colOff>
      <xdr:row>14</xdr:row>
      <xdr:rowOff>15240</xdr:rowOff>
    </xdr:from>
    <xdr:to>
      <xdr:col>19</xdr:col>
      <xdr:colOff>464820</xdr:colOff>
      <xdr:row>15</xdr:row>
      <xdr:rowOff>121920</xdr:rowOff>
    </xdr:to>
    <xdr:sp macro="" textlink="">
      <xdr:nvSpPr>
        <xdr:cNvPr id="26" name="TextBox 25">
          <a:extLst>
            <a:ext uri="{FF2B5EF4-FFF2-40B4-BE49-F238E27FC236}">
              <a16:creationId xmlns:a16="http://schemas.microsoft.com/office/drawing/2014/main" id="{A6E77C43-5ED7-C71F-4833-B60AA258333C}"/>
            </a:ext>
          </a:extLst>
        </xdr:cNvPr>
        <xdr:cNvSpPr txBox="1"/>
      </xdr:nvSpPr>
      <xdr:spPr>
        <a:xfrm>
          <a:off x="9753600" y="2575560"/>
          <a:ext cx="2293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Employee</a:t>
          </a:r>
          <a:r>
            <a:rPr lang="en-IN" sz="1200" b="1" baseline="0">
              <a:solidFill>
                <a:schemeClr val="tx1"/>
              </a:solidFill>
            </a:rPr>
            <a:t> type Analysis</a:t>
          </a:r>
          <a:endParaRPr lang="en-IN" sz="1200" b="1">
            <a:solidFill>
              <a:schemeClr val="tx1"/>
            </a:solidFill>
          </a:endParaRPr>
        </a:p>
      </xdr:txBody>
    </xdr:sp>
    <xdr:clientData/>
  </xdr:twoCellAnchor>
  <xdr:twoCellAnchor>
    <xdr:from>
      <xdr:col>10</xdr:col>
      <xdr:colOff>259715</xdr:colOff>
      <xdr:row>13</xdr:row>
      <xdr:rowOff>172296</xdr:rowOff>
    </xdr:from>
    <xdr:to>
      <xdr:col>15</xdr:col>
      <xdr:colOff>350520</xdr:colOff>
      <xdr:row>21</xdr:row>
      <xdr:rowOff>68580</xdr:rowOff>
    </xdr:to>
    <xdr:sp macro="" textlink="">
      <xdr:nvSpPr>
        <xdr:cNvPr id="27" name="Rectangle: Rounded Corners 26">
          <a:extLst>
            <a:ext uri="{FF2B5EF4-FFF2-40B4-BE49-F238E27FC236}">
              <a16:creationId xmlns:a16="http://schemas.microsoft.com/office/drawing/2014/main" id="{596164BE-F75B-9825-4A09-5ED47B02529A}"/>
            </a:ext>
          </a:extLst>
        </xdr:cNvPr>
        <xdr:cNvSpPr/>
      </xdr:nvSpPr>
      <xdr:spPr>
        <a:xfrm>
          <a:off x="6355715" y="2483696"/>
          <a:ext cx="3138805" cy="1318684"/>
        </a:xfrm>
        <a:prstGeom prst="roundRect">
          <a:avLst>
            <a:gd name="adj" fmla="val 491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274320</xdr:colOff>
      <xdr:row>14</xdr:row>
      <xdr:rowOff>167640</xdr:rowOff>
    </xdr:from>
    <xdr:to>
      <xdr:col>15</xdr:col>
      <xdr:colOff>365760</xdr:colOff>
      <xdr:row>21</xdr:row>
      <xdr:rowOff>53340</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5A6C6A41-629D-4C51-A82B-ABF0504C96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6370320" y="2727960"/>
              <a:ext cx="3139440" cy="1165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236220</xdr:colOff>
      <xdr:row>13</xdr:row>
      <xdr:rowOff>175260</xdr:rowOff>
    </xdr:from>
    <xdr:to>
      <xdr:col>15</xdr:col>
      <xdr:colOff>83820</xdr:colOff>
      <xdr:row>15</xdr:row>
      <xdr:rowOff>7620</xdr:rowOff>
    </xdr:to>
    <xdr:sp macro="" textlink="">
      <xdr:nvSpPr>
        <xdr:cNvPr id="29" name="TextBox 28">
          <a:extLst>
            <a:ext uri="{FF2B5EF4-FFF2-40B4-BE49-F238E27FC236}">
              <a16:creationId xmlns:a16="http://schemas.microsoft.com/office/drawing/2014/main" id="{CBB1F1D4-6365-B664-651B-DF686FCEDAB3}"/>
            </a:ext>
          </a:extLst>
        </xdr:cNvPr>
        <xdr:cNvSpPr txBox="1"/>
      </xdr:nvSpPr>
      <xdr:spPr>
        <a:xfrm>
          <a:off x="6941820" y="2552700"/>
          <a:ext cx="2286000" cy="19812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rPr>
            <a:t>Leave</a:t>
          </a:r>
          <a:r>
            <a:rPr lang="en-IN" sz="1200" b="1" baseline="0">
              <a:solidFill>
                <a:schemeClr val="tx1"/>
              </a:solidFill>
            </a:rPr>
            <a:t> Analysis</a:t>
          </a:r>
          <a:endParaRPr lang="en-IN" sz="1200" b="1">
            <a:solidFill>
              <a:schemeClr val="tx1"/>
            </a:solidFill>
          </a:endParaRPr>
        </a:p>
      </xdr:txBody>
    </xdr:sp>
    <xdr:clientData/>
  </xdr:twoCellAnchor>
  <xdr:twoCellAnchor>
    <xdr:from>
      <xdr:col>11</xdr:col>
      <xdr:colOff>42001</xdr:colOff>
      <xdr:row>21</xdr:row>
      <xdr:rowOff>116779</xdr:rowOff>
    </xdr:from>
    <xdr:to>
      <xdr:col>19</xdr:col>
      <xdr:colOff>209550</xdr:colOff>
      <xdr:row>32</xdr:row>
      <xdr:rowOff>60960</xdr:rowOff>
    </xdr:to>
    <xdr:sp macro="" textlink="">
      <xdr:nvSpPr>
        <xdr:cNvPr id="31" name="Rectangle: Rounded Corners 30">
          <a:extLst>
            <a:ext uri="{FF2B5EF4-FFF2-40B4-BE49-F238E27FC236}">
              <a16:creationId xmlns:a16="http://schemas.microsoft.com/office/drawing/2014/main" id="{48A00C63-8D3F-3207-5F30-B0C1DAF86CF5}"/>
            </a:ext>
          </a:extLst>
        </xdr:cNvPr>
        <xdr:cNvSpPr/>
      </xdr:nvSpPr>
      <xdr:spPr>
        <a:xfrm>
          <a:off x="6747601" y="3957259"/>
          <a:ext cx="5044349" cy="1955861"/>
        </a:xfrm>
        <a:prstGeom prst="roundRect">
          <a:avLst>
            <a:gd name="adj" fmla="val 491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514350</xdr:colOff>
      <xdr:row>21</xdr:row>
      <xdr:rowOff>114300</xdr:rowOff>
    </xdr:from>
    <xdr:to>
      <xdr:col>11</xdr:col>
      <xdr:colOff>0</xdr:colOff>
      <xdr:row>32</xdr:row>
      <xdr:rowOff>47624</xdr:rowOff>
    </xdr:to>
    <xdr:sp macro="" textlink="">
      <xdr:nvSpPr>
        <xdr:cNvPr id="33" name="Rectangle: Rounded Corners 32">
          <a:extLst>
            <a:ext uri="{FF2B5EF4-FFF2-40B4-BE49-F238E27FC236}">
              <a16:creationId xmlns:a16="http://schemas.microsoft.com/office/drawing/2014/main" id="{18A7CEB6-FE25-4C24-019A-53AE12DA96FC}"/>
            </a:ext>
          </a:extLst>
        </xdr:cNvPr>
        <xdr:cNvSpPr/>
      </xdr:nvSpPr>
      <xdr:spPr>
        <a:xfrm>
          <a:off x="3562350" y="3914775"/>
          <a:ext cx="3143250" cy="1924049"/>
        </a:xfrm>
        <a:prstGeom prst="roundRect">
          <a:avLst>
            <a:gd name="adj" fmla="val 491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76199</xdr:colOff>
      <xdr:row>21</xdr:row>
      <xdr:rowOff>154878</xdr:rowOff>
    </xdr:from>
    <xdr:to>
      <xdr:col>19</xdr:col>
      <xdr:colOff>152400</xdr:colOff>
      <xdr:row>32</xdr:row>
      <xdr:rowOff>38100</xdr:rowOff>
    </xdr:to>
    <xdr:graphicFrame macro="">
      <xdr:nvGraphicFramePr>
        <xdr:cNvPr id="34" name="Chart 33">
          <a:extLst>
            <a:ext uri="{FF2B5EF4-FFF2-40B4-BE49-F238E27FC236}">
              <a16:creationId xmlns:a16="http://schemas.microsoft.com/office/drawing/2014/main" id="{C9330070-7379-4816-A54D-C096DA2A2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483870</xdr:colOff>
      <xdr:row>21</xdr:row>
      <xdr:rowOff>93345</xdr:rowOff>
    </xdr:from>
    <xdr:to>
      <xdr:col>16</xdr:col>
      <xdr:colOff>339090</xdr:colOff>
      <xdr:row>23</xdr:row>
      <xdr:rowOff>17145</xdr:rowOff>
    </xdr:to>
    <xdr:sp macro="" textlink="">
      <xdr:nvSpPr>
        <xdr:cNvPr id="35" name="TextBox 34">
          <a:extLst>
            <a:ext uri="{FF2B5EF4-FFF2-40B4-BE49-F238E27FC236}">
              <a16:creationId xmlns:a16="http://schemas.microsoft.com/office/drawing/2014/main" id="{87C4C77E-87CD-27DF-F9C4-8EB16987A856}"/>
            </a:ext>
          </a:extLst>
        </xdr:cNvPr>
        <xdr:cNvSpPr txBox="1"/>
      </xdr:nvSpPr>
      <xdr:spPr>
        <a:xfrm>
          <a:off x="7799070" y="3933825"/>
          <a:ext cx="2293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rPr>
            <a:t>                        </a:t>
          </a:r>
          <a:r>
            <a:rPr lang="en-IN" sz="1200" b="1">
              <a:solidFill>
                <a:schemeClr val="tx1"/>
              </a:solidFill>
            </a:rPr>
            <a:t>Payroll</a:t>
          </a:r>
          <a:r>
            <a:rPr lang="en-IN" sz="1200" b="1" baseline="0">
              <a:solidFill>
                <a:schemeClr val="tx1"/>
              </a:solidFill>
            </a:rPr>
            <a:t> Analysis</a:t>
          </a:r>
          <a:endParaRPr lang="en-IN" sz="1200" b="1">
            <a:solidFill>
              <a:schemeClr val="tx1"/>
            </a:solidFill>
          </a:endParaRPr>
        </a:p>
      </xdr:txBody>
    </xdr:sp>
    <xdr:clientData/>
  </xdr:twoCellAnchor>
  <xdr:twoCellAnchor>
    <xdr:from>
      <xdr:col>1</xdr:col>
      <xdr:colOff>476614</xdr:colOff>
      <xdr:row>32</xdr:row>
      <xdr:rowOff>106044</xdr:rowOff>
    </xdr:from>
    <xdr:to>
      <xdr:col>13</xdr:col>
      <xdr:colOff>474346</xdr:colOff>
      <xdr:row>40</xdr:row>
      <xdr:rowOff>76199</xdr:rowOff>
    </xdr:to>
    <xdr:sp macro="" textlink="">
      <xdr:nvSpPr>
        <xdr:cNvPr id="37" name="Rectangle: Rounded Corners 36">
          <a:extLst>
            <a:ext uri="{FF2B5EF4-FFF2-40B4-BE49-F238E27FC236}">
              <a16:creationId xmlns:a16="http://schemas.microsoft.com/office/drawing/2014/main" id="{77B6C299-A374-166C-B5F8-8C13B138E663}"/>
            </a:ext>
          </a:extLst>
        </xdr:cNvPr>
        <xdr:cNvSpPr/>
      </xdr:nvSpPr>
      <xdr:spPr>
        <a:xfrm>
          <a:off x="1086214" y="5958204"/>
          <a:ext cx="7312932" cy="1433195"/>
        </a:xfrm>
        <a:prstGeom prst="roundRect">
          <a:avLst>
            <a:gd name="adj" fmla="val 491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510540</xdr:colOff>
      <xdr:row>21</xdr:row>
      <xdr:rowOff>95250</xdr:rowOff>
    </xdr:from>
    <xdr:to>
      <xdr:col>10</xdr:col>
      <xdr:colOff>600074</xdr:colOff>
      <xdr:row>32</xdr:row>
      <xdr:rowOff>22860</xdr:rowOff>
    </xdr:to>
    <xdr:graphicFrame macro="">
      <xdr:nvGraphicFramePr>
        <xdr:cNvPr id="38" name="Chart 37">
          <a:extLst>
            <a:ext uri="{FF2B5EF4-FFF2-40B4-BE49-F238E27FC236}">
              <a16:creationId xmlns:a16="http://schemas.microsoft.com/office/drawing/2014/main" id="{355D72B9-825E-4FFC-9BE1-C714FAAFC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542926</xdr:colOff>
      <xdr:row>32</xdr:row>
      <xdr:rowOff>123826</xdr:rowOff>
    </xdr:from>
    <xdr:to>
      <xdr:col>19</xdr:col>
      <xdr:colOff>190500</xdr:colOff>
      <xdr:row>40</xdr:row>
      <xdr:rowOff>60960</xdr:rowOff>
    </xdr:to>
    <xdr:sp macro="" textlink="">
      <xdr:nvSpPr>
        <xdr:cNvPr id="39" name="Rectangle: Rounded Corners 38">
          <a:extLst>
            <a:ext uri="{FF2B5EF4-FFF2-40B4-BE49-F238E27FC236}">
              <a16:creationId xmlns:a16="http://schemas.microsoft.com/office/drawing/2014/main" id="{2BB8B405-6700-15D9-6400-E480ECF40F9D}"/>
            </a:ext>
          </a:extLst>
        </xdr:cNvPr>
        <xdr:cNvSpPr/>
      </xdr:nvSpPr>
      <xdr:spPr>
        <a:xfrm>
          <a:off x="8467726" y="5975986"/>
          <a:ext cx="3305174" cy="1400174"/>
        </a:xfrm>
        <a:prstGeom prst="roundRect">
          <a:avLst>
            <a:gd name="adj" fmla="val 491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577215</xdr:colOff>
      <xdr:row>21</xdr:row>
      <xdr:rowOff>108585</xdr:rowOff>
    </xdr:from>
    <xdr:to>
      <xdr:col>10</xdr:col>
      <xdr:colOff>432435</xdr:colOff>
      <xdr:row>23</xdr:row>
      <xdr:rowOff>32385</xdr:rowOff>
    </xdr:to>
    <xdr:sp macro="" textlink="">
      <xdr:nvSpPr>
        <xdr:cNvPr id="42" name="TextBox 41">
          <a:extLst>
            <a:ext uri="{FF2B5EF4-FFF2-40B4-BE49-F238E27FC236}">
              <a16:creationId xmlns:a16="http://schemas.microsoft.com/office/drawing/2014/main" id="{CBF91AAC-B3F0-B8C7-A6DD-A4C91C634CC0}"/>
            </a:ext>
          </a:extLst>
        </xdr:cNvPr>
        <xdr:cNvSpPr txBox="1"/>
      </xdr:nvSpPr>
      <xdr:spPr>
        <a:xfrm>
          <a:off x="4234815" y="3949065"/>
          <a:ext cx="2293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Department</a:t>
          </a:r>
          <a:r>
            <a:rPr lang="en-IN" sz="1200" b="1" baseline="0">
              <a:solidFill>
                <a:schemeClr val="tx1"/>
              </a:solidFill>
            </a:rPr>
            <a:t> wise net Salary</a:t>
          </a:r>
          <a:endParaRPr lang="en-IN" sz="1200" b="1">
            <a:solidFill>
              <a:schemeClr val="tx1"/>
            </a:solidFill>
          </a:endParaRPr>
        </a:p>
      </xdr:txBody>
    </xdr:sp>
    <xdr:clientData/>
  </xdr:twoCellAnchor>
  <xdr:twoCellAnchor>
    <xdr:from>
      <xdr:col>1</xdr:col>
      <xdr:colOff>595994</xdr:colOff>
      <xdr:row>33</xdr:row>
      <xdr:rowOff>106680</xdr:rowOff>
    </xdr:from>
    <xdr:to>
      <xdr:col>13</xdr:col>
      <xdr:colOff>447676</xdr:colOff>
      <xdr:row>40</xdr:row>
      <xdr:rowOff>22860</xdr:rowOff>
    </xdr:to>
    <xdr:graphicFrame macro="">
      <xdr:nvGraphicFramePr>
        <xdr:cNvPr id="59" name="Chart 58">
          <a:extLst>
            <a:ext uri="{FF2B5EF4-FFF2-40B4-BE49-F238E27FC236}">
              <a16:creationId xmlns:a16="http://schemas.microsoft.com/office/drawing/2014/main" id="{45D43DE0-6F70-42C7-BFE2-74ED30DEB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531283</xdr:colOff>
      <xdr:row>32</xdr:row>
      <xdr:rowOff>99906</xdr:rowOff>
    </xdr:from>
    <xdr:to>
      <xdr:col>18</xdr:col>
      <xdr:colOff>386503</xdr:colOff>
      <xdr:row>34</xdr:row>
      <xdr:rowOff>23706</xdr:rowOff>
    </xdr:to>
    <xdr:sp macro="" textlink="">
      <xdr:nvSpPr>
        <xdr:cNvPr id="70" name="TextBox 69">
          <a:extLst>
            <a:ext uri="{FF2B5EF4-FFF2-40B4-BE49-F238E27FC236}">
              <a16:creationId xmlns:a16="http://schemas.microsoft.com/office/drawing/2014/main" id="{EFB716FE-02B2-CA30-A9E0-3F9BEED4F230}"/>
            </a:ext>
          </a:extLst>
        </xdr:cNvPr>
        <xdr:cNvSpPr txBox="1"/>
      </xdr:nvSpPr>
      <xdr:spPr>
        <a:xfrm>
          <a:off x="9065683" y="5952066"/>
          <a:ext cx="2293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Department</a:t>
          </a:r>
          <a:r>
            <a:rPr lang="en-IN" sz="1200" b="1" baseline="0">
              <a:solidFill>
                <a:schemeClr val="tx1"/>
              </a:solidFill>
            </a:rPr>
            <a:t> wise OT Analysis</a:t>
          </a:r>
          <a:endParaRPr lang="en-IN" sz="1200" b="1">
            <a:solidFill>
              <a:schemeClr val="tx1"/>
            </a:solidFill>
          </a:endParaRPr>
        </a:p>
      </xdr:txBody>
    </xdr:sp>
    <xdr:clientData/>
  </xdr:twoCellAnchor>
  <xdr:twoCellAnchor>
    <xdr:from>
      <xdr:col>20</xdr:col>
      <xdr:colOff>251036</xdr:colOff>
      <xdr:row>30</xdr:row>
      <xdr:rowOff>72177</xdr:rowOff>
    </xdr:from>
    <xdr:to>
      <xdr:col>24</xdr:col>
      <xdr:colOff>106256</xdr:colOff>
      <xdr:row>31</xdr:row>
      <xdr:rowOff>176952</xdr:rowOff>
    </xdr:to>
    <xdr:sp macro="" textlink="">
      <xdr:nvSpPr>
        <xdr:cNvPr id="71" name="TextBox 70">
          <a:extLst>
            <a:ext uri="{FF2B5EF4-FFF2-40B4-BE49-F238E27FC236}">
              <a16:creationId xmlns:a16="http://schemas.microsoft.com/office/drawing/2014/main" id="{99794685-E70A-C69B-22D2-E4736DCAF891}"/>
            </a:ext>
          </a:extLst>
        </xdr:cNvPr>
        <xdr:cNvSpPr txBox="1"/>
      </xdr:nvSpPr>
      <xdr:spPr>
        <a:xfrm>
          <a:off x="12443036" y="5660177"/>
          <a:ext cx="2293620" cy="291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solidFill>
              <a:schemeClr val="bg1"/>
            </a:solidFill>
          </a:endParaRPr>
        </a:p>
      </xdr:txBody>
    </xdr:sp>
    <xdr:clientData/>
  </xdr:twoCellAnchor>
  <xdr:twoCellAnchor>
    <xdr:from>
      <xdr:col>5</xdr:col>
      <xdr:colOff>320040</xdr:colOff>
      <xdr:row>32</xdr:row>
      <xdr:rowOff>67732</xdr:rowOff>
    </xdr:from>
    <xdr:to>
      <xdr:col>11</xdr:col>
      <xdr:colOff>523240</xdr:colOff>
      <xdr:row>33</xdr:row>
      <xdr:rowOff>169121</xdr:rowOff>
    </xdr:to>
    <xdr:sp macro="" textlink="">
      <xdr:nvSpPr>
        <xdr:cNvPr id="72" name="TextBox 71">
          <a:extLst>
            <a:ext uri="{FF2B5EF4-FFF2-40B4-BE49-F238E27FC236}">
              <a16:creationId xmlns:a16="http://schemas.microsoft.com/office/drawing/2014/main" id="{C4C17341-575B-07C9-F931-A7EC5F3DEC42}"/>
            </a:ext>
          </a:extLst>
        </xdr:cNvPr>
        <xdr:cNvSpPr txBox="1"/>
      </xdr:nvSpPr>
      <xdr:spPr>
        <a:xfrm>
          <a:off x="3368040" y="5919892"/>
          <a:ext cx="3860800" cy="284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1"/>
              </a:solidFill>
            </a:rPr>
            <a:t>Monthly</a:t>
          </a:r>
          <a:r>
            <a:rPr lang="en-IN" sz="1600" b="1" baseline="0">
              <a:solidFill>
                <a:schemeClr val="tx1"/>
              </a:solidFill>
            </a:rPr>
            <a:t> Attendance Trend</a:t>
          </a:r>
          <a:endParaRPr lang="en-IN" sz="1600" b="1">
            <a:solidFill>
              <a:schemeClr val="tx1"/>
            </a:solidFill>
          </a:endParaRPr>
        </a:p>
      </xdr:txBody>
    </xdr:sp>
    <xdr:clientData/>
  </xdr:twoCellAnchor>
  <xdr:twoCellAnchor editAs="oneCell">
    <xdr:from>
      <xdr:col>0</xdr:col>
      <xdr:colOff>22860</xdr:colOff>
      <xdr:row>3</xdr:row>
      <xdr:rowOff>175260</xdr:rowOff>
    </xdr:from>
    <xdr:to>
      <xdr:col>1</xdr:col>
      <xdr:colOff>426720</xdr:colOff>
      <xdr:row>14</xdr:row>
      <xdr:rowOff>83820</xdr:rowOff>
    </xdr:to>
    <mc:AlternateContent xmlns:mc="http://schemas.openxmlformats.org/markup-compatibility/2006" xmlns:a14="http://schemas.microsoft.com/office/drawing/2010/main">
      <mc:Choice Requires="a14">
        <xdr:graphicFrame macro="">
          <xdr:nvGraphicFramePr>
            <xdr:cNvPr id="73" name="Department 1">
              <a:extLst>
                <a:ext uri="{FF2B5EF4-FFF2-40B4-BE49-F238E27FC236}">
                  <a16:creationId xmlns:a16="http://schemas.microsoft.com/office/drawing/2014/main" id="{01E74356-9E53-4AE7-8B12-90759CDC5F8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2860" y="708660"/>
              <a:ext cx="1013460" cy="1864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19</xdr:row>
      <xdr:rowOff>91440</xdr:rowOff>
    </xdr:from>
    <xdr:to>
      <xdr:col>1</xdr:col>
      <xdr:colOff>419100</xdr:colOff>
      <xdr:row>32</xdr:row>
      <xdr:rowOff>0</xdr:rowOff>
    </xdr:to>
    <mc:AlternateContent xmlns:mc="http://schemas.openxmlformats.org/markup-compatibility/2006" xmlns:a14="http://schemas.microsoft.com/office/drawing/2010/main">
      <mc:Choice Requires="a14">
        <xdr:graphicFrame macro="">
          <xdr:nvGraphicFramePr>
            <xdr:cNvPr id="74" name="Employee_ID 1">
              <a:extLst>
                <a:ext uri="{FF2B5EF4-FFF2-40B4-BE49-F238E27FC236}">
                  <a16:creationId xmlns:a16="http://schemas.microsoft.com/office/drawing/2014/main" id="{D668B885-7CA0-4308-8853-F042A7595D4D}"/>
                </a:ext>
              </a:extLst>
            </xdr:cNvPr>
            <xdr:cNvGraphicFramePr/>
          </xdr:nvGraphicFramePr>
          <xdr:xfrm>
            <a:off x="0" y="0"/>
            <a:ext cx="0" cy="0"/>
          </xdr:xfrm>
          <a:graphic>
            <a:graphicData uri="http://schemas.microsoft.com/office/drawing/2010/slicer">
              <sle:slicer xmlns:sle="http://schemas.microsoft.com/office/drawing/2010/slicer" name="Employee_ID 1"/>
            </a:graphicData>
          </a:graphic>
        </xdr:graphicFrame>
      </mc:Choice>
      <mc:Fallback xmlns="">
        <xdr:sp macro="" textlink="">
          <xdr:nvSpPr>
            <xdr:cNvPr id="0" name=""/>
            <xdr:cNvSpPr>
              <a:spLocks noTextEdit="1"/>
            </xdr:cNvSpPr>
          </xdr:nvSpPr>
          <xdr:spPr>
            <a:xfrm>
              <a:off x="30480" y="3469640"/>
              <a:ext cx="1028700" cy="2219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34291</xdr:colOff>
      <xdr:row>14</xdr:row>
      <xdr:rowOff>66676</xdr:rowOff>
    </xdr:from>
    <xdr:to>
      <xdr:col>1</xdr:col>
      <xdr:colOff>426721</xdr:colOff>
      <xdr:row>19</xdr:row>
      <xdr:rowOff>91440</xdr:rowOff>
    </xdr:to>
    <mc:AlternateContent xmlns:mc="http://schemas.openxmlformats.org/markup-compatibility/2006" xmlns:a14="http://schemas.microsoft.com/office/drawing/2010/main">
      <mc:Choice Requires="a14">
        <xdr:graphicFrame macro="">
          <xdr:nvGraphicFramePr>
            <xdr:cNvPr id="76" name="Employee_Type 1">
              <a:extLst>
                <a:ext uri="{FF2B5EF4-FFF2-40B4-BE49-F238E27FC236}">
                  <a16:creationId xmlns:a16="http://schemas.microsoft.com/office/drawing/2014/main" id="{B456CC31-32CC-4913-BC13-BBB1DF114244}"/>
                </a:ext>
              </a:extLst>
            </xdr:cNvPr>
            <xdr:cNvGraphicFramePr/>
          </xdr:nvGraphicFramePr>
          <xdr:xfrm>
            <a:off x="0" y="0"/>
            <a:ext cx="0" cy="0"/>
          </xdr:xfrm>
          <a:graphic>
            <a:graphicData uri="http://schemas.microsoft.com/office/drawing/2010/slicer">
              <sle:slicer xmlns:sle="http://schemas.microsoft.com/office/drawing/2010/slicer" name="Employee_Type 1"/>
            </a:graphicData>
          </a:graphic>
        </xdr:graphicFrame>
      </mc:Choice>
      <mc:Fallback xmlns="">
        <xdr:sp macro="" textlink="">
          <xdr:nvSpPr>
            <xdr:cNvPr id="0" name=""/>
            <xdr:cNvSpPr>
              <a:spLocks noTextEdit="1"/>
            </xdr:cNvSpPr>
          </xdr:nvSpPr>
          <xdr:spPr>
            <a:xfrm>
              <a:off x="34291" y="2555876"/>
              <a:ext cx="1002030" cy="913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32</xdr:row>
      <xdr:rowOff>5715</xdr:rowOff>
    </xdr:from>
    <xdr:to>
      <xdr:col>1</xdr:col>
      <xdr:colOff>421005</xdr:colOff>
      <xdr:row>40</xdr:row>
      <xdr:rowOff>83820</xdr:rowOff>
    </xdr:to>
    <mc:AlternateContent xmlns:mc="http://schemas.openxmlformats.org/markup-compatibility/2006" xmlns:a14="http://schemas.microsoft.com/office/drawing/2010/main">
      <mc:Choice Requires="a14">
        <xdr:graphicFrame macro="">
          <xdr:nvGraphicFramePr>
            <xdr:cNvPr id="78" name="Location 1">
              <a:extLst>
                <a:ext uri="{FF2B5EF4-FFF2-40B4-BE49-F238E27FC236}">
                  <a16:creationId xmlns:a16="http://schemas.microsoft.com/office/drawing/2014/main" id="{94B0A453-A403-49B1-9B56-46828D3C59AB}"/>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30480" y="5695315"/>
              <a:ext cx="1000125" cy="1500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13</xdr:col>
          <xdr:colOff>600075</xdr:colOff>
          <xdr:row>34</xdr:row>
          <xdr:rowOff>61865</xdr:rowOff>
        </xdr:from>
        <xdr:to>
          <xdr:col>19</xdr:col>
          <xdr:colOff>152400</xdr:colOff>
          <xdr:row>40</xdr:row>
          <xdr:rowOff>1904</xdr:rowOff>
        </xdr:to>
        <xdr:pic>
          <xdr:nvPicPr>
            <xdr:cNvPr id="10" name="Picture 9">
              <a:extLst>
                <a:ext uri="{FF2B5EF4-FFF2-40B4-BE49-F238E27FC236}">
                  <a16:creationId xmlns:a16="http://schemas.microsoft.com/office/drawing/2014/main" id="{5D3C2943-D692-F0E5-50B1-2526C02160C8}"/>
                </a:ext>
              </a:extLst>
            </xdr:cNvPr>
            <xdr:cNvPicPr>
              <a:picLocks noChangeAspect="1" noChangeArrowheads="1"/>
              <a:extLst>
                <a:ext uri="{84589F7E-364E-4C9E-8A38-B11213B215E9}">
                  <a14:cameraTool cellRange="'Pivot Table '!$E$122:$G$127" spid="_x0000_s1209"/>
                </a:ext>
              </a:extLst>
            </xdr:cNvPicPr>
          </xdr:nvPicPr>
          <xdr:blipFill>
            <a:blip xmlns:r="http://schemas.openxmlformats.org/officeDocument/2006/relationships" r:embed="rId19"/>
            <a:srcRect/>
            <a:stretch>
              <a:fillRect/>
            </a:stretch>
          </xdr:blipFill>
          <xdr:spPr bwMode="auto">
            <a:xfrm>
              <a:off x="8524875" y="6279785"/>
              <a:ext cx="3209925" cy="1037319"/>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editAs="oneCell">
    <xdr:from>
      <xdr:col>8</xdr:col>
      <xdr:colOff>523876</xdr:colOff>
      <xdr:row>5</xdr:row>
      <xdr:rowOff>152400</xdr:rowOff>
    </xdr:from>
    <xdr:to>
      <xdr:col>9</xdr:col>
      <xdr:colOff>295275</xdr:colOff>
      <xdr:row>7</xdr:row>
      <xdr:rowOff>171449</xdr:rowOff>
    </xdr:to>
    <xdr:pic>
      <xdr:nvPicPr>
        <xdr:cNvPr id="3" name="Picture 2">
          <a:extLst>
            <a:ext uri="{FF2B5EF4-FFF2-40B4-BE49-F238E27FC236}">
              <a16:creationId xmlns:a16="http://schemas.microsoft.com/office/drawing/2014/main" id="{8B23B5D8-C75C-B4DE-12D0-C842D7C20BC0}"/>
            </a:ext>
          </a:extLst>
        </xdr:cNvPr>
        <xdr:cNvPicPr>
          <a:picLocks noChangeAspect="1"/>
        </xdr:cNvPicPr>
      </xdr:nvPicPr>
      <xdr:blipFill>
        <a:blip xmlns:r="http://schemas.openxmlformats.org/officeDocument/2006/relationships" r:embed="rId20"/>
        <a:stretch>
          <a:fillRect/>
        </a:stretch>
      </xdr:blipFill>
      <xdr:spPr>
        <a:xfrm>
          <a:off x="5400676" y="1057275"/>
          <a:ext cx="380999" cy="38099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563880</xdr:colOff>
          <xdr:row>15</xdr:row>
          <xdr:rowOff>60960</xdr:rowOff>
        </xdr:from>
        <xdr:to>
          <xdr:col>10</xdr:col>
          <xdr:colOff>198120</xdr:colOff>
          <xdr:row>21</xdr:row>
          <xdr:rowOff>30480</xdr:rowOff>
        </xdr:to>
        <xdr:pic>
          <xdr:nvPicPr>
            <xdr:cNvPr id="40" name="Picture 39">
              <a:extLst>
                <a:ext uri="{FF2B5EF4-FFF2-40B4-BE49-F238E27FC236}">
                  <a16:creationId xmlns:a16="http://schemas.microsoft.com/office/drawing/2014/main" id="{F511D865-4789-08D4-0BD4-F73460D84B6D}"/>
                </a:ext>
              </a:extLst>
            </xdr:cNvPr>
            <xdr:cNvPicPr>
              <a:picLocks noChangeAspect="1" noChangeArrowheads="1"/>
              <a:extLst>
                <a:ext uri="{84589F7E-364E-4C9E-8A38-B11213B215E9}">
                  <a14:cameraTool cellRange="'Pivot Table '!$F$68:$J$73" spid="_x0000_s1210"/>
                </a:ext>
              </a:extLst>
            </xdr:cNvPicPr>
          </xdr:nvPicPr>
          <xdr:blipFill>
            <a:blip xmlns:r="http://schemas.openxmlformats.org/officeDocument/2006/relationships" r:embed="rId21"/>
            <a:srcRect/>
            <a:stretch>
              <a:fillRect/>
            </a:stretch>
          </xdr:blipFill>
          <xdr:spPr bwMode="auto">
            <a:xfrm>
              <a:off x="3611880" y="2804160"/>
              <a:ext cx="2682240" cy="10668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SH JADHAV" refreshedDate="46283.277671412034" backgroundQuery="1" createdVersion="8" refreshedVersion="8" minRefreshableVersion="3" recordCount="0" supportSubquery="1" supportAdvancedDrill="1" xr:uid="{692683ED-C875-4251-BF92-340495DF77C5}">
  <cacheSource type="external" connectionId="6"/>
  <cacheFields count="5">
    <cacheField name="[Emp_Data].[Department].[Department]" caption="Department" numFmtId="0" hierarchy="3" level="1">
      <sharedItems count="5">
        <s v="Finance"/>
        <s v="HR"/>
        <s v="IT"/>
        <s v="Operations"/>
        <s v="Sales"/>
      </sharedItems>
    </cacheField>
    <cacheField name="[Measures].[Sum of Present_Flag]" caption="Sum of Present_Flag" numFmtId="0" hierarchy="34" level="32767"/>
    <cacheField name="[Measures].[Sum of Absent_Flag]" caption="Sum of Absent_Flag" numFmtId="0" hierarchy="36" level="32767"/>
    <cacheField name="[Measures].[Sum of Leave_Flag]" caption="Sum of Leave_Flag" numFmtId="0" hierarchy="37" level="32767"/>
    <cacheField name="[Emp_Data].[Date].[Date]" caption="Date" numFmtId="0" level="1">
      <sharedItems containsSemiMixedTypes="0" containsNonDate="0" containsString="0"/>
    </cacheField>
  </cacheFields>
  <cacheHierarchies count="48">
    <cacheHierarchy uniqueName="[Emp_Data].[Date]" caption="Date" attribute="1" time="1" defaultMemberUniqueName="[Emp_Data].[Date].[All]" allUniqueName="[Emp_Data].[Date].[All]" dimensionUniqueName="[Emp_Data]" displayFolder="" count="2" memberValueDatatype="7" unbalanced="0">
      <fieldsUsage count="2">
        <fieldUsage x="-1"/>
        <fieldUsage x="4"/>
      </fieldsUsage>
    </cacheHierarchy>
    <cacheHierarchy uniqueName="[Emp_Data].[Employee_ID]" caption="Employee_ID" attribute="1" defaultMemberUniqueName="[Emp_Data].[Employee_ID].[All]" allUniqueName="[Emp_Data].[Employee_ID].[All]" dimensionUniqueName="[Emp_Data]" displayFolder="" count="2" memberValueDatatype="130" unbalanced="0"/>
    <cacheHierarchy uniqueName="[Emp_Data].[Employee_Name]" caption="Employee_Name" attribute="1" defaultMemberUniqueName="[Emp_Data].[Employee_Name].[All]" allUniqueName="[Emp_Data].[Employee_Name].[All]" dimensionUniqueName="[Emp_Data]" displayFolder="" count="0" memberValueDatatype="130" unbalanced="0"/>
    <cacheHierarchy uniqueName="[Emp_Data].[Department]" caption="Department" attribute="1" defaultMemberUniqueName="[Emp_Data].[Department].[All]" allUniqueName="[Emp_Data].[Department].[All]" dimensionUniqueName="[Emp_Data]" displayFolder="" count="2" memberValueDatatype="130" unbalanced="0">
      <fieldsUsage count="2">
        <fieldUsage x="-1"/>
        <fieldUsage x="0"/>
      </fieldsUsage>
    </cacheHierarchy>
    <cacheHierarchy uniqueName="[Emp_Data].[Location]" caption="Location" attribute="1" defaultMemberUniqueName="[Emp_Data].[Location].[All]" allUniqueName="[Emp_Data].[Location].[All]" dimensionUniqueName="[Emp_Data]" displayFolder="" count="2" memberValueDatatype="130" unbalanced="0"/>
    <cacheHierarchy uniqueName="[Emp_Data].[Employee_Type]" caption="Employee_Type" attribute="1" defaultMemberUniqueName="[Emp_Data].[Employee_Type].[All]" allUniqueName="[Emp_Data].[Employee_Type].[All]" dimensionUniqueName="[Emp_Data]" displayFolder="" count="2" memberValueDatatype="130" unbalanced="0"/>
    <cacheHierarchy uniqueName="[Emp_Data].[Date_of_Joining]" caption="Date_of_Joining" attribute="1" time="1" defaultMemberUniqueName="[Emp_Data].[Date_of_Joining].[All]" allUniqueName="[Emp_Data].[Date_of_Joining].[All]" dimensionUniqueName="[Emp_Data]" displayFolder="" count="0" memberValueDatatype="7" unbalanced="0"/>
    <cacheHierarchy uniqueName="[Emp_Data].[Basic_Salary]" caption="Basic_Salary" attribute="1" defaultMemberUniqueName="[Emp_Data].[Basic_Salary].[All]" allUniqueName="[Emp_Data].[Basic_Salary].[All]" dimensionUniqueName="[Emp_Data]" displayFolder="" count="0" memberValueDatatype="20" unbalanced="0"/>
    <cacheHierarchy uniqueName="[Emp_Data].[Status]" caption="Status" attribute="1" defaultMemberUniqueName="[Emp_Data].[Status].[All]" allUniqueName="[Emp_Data].[Status].[All]" dimensionUniqueName="[Emp_Data]" displayFolder="" count="0" memberValueDatatype="130" unbalanced="0"/>
    <cacheHierarchy uniqueName="[Emp_Data].[Check_In]" caption="Check_In" attribute="1" defaultMemberUniqueName="[Emp_Data].[Check_In].[All]" allUniqueName="[Emp_Data].[Check_In].[All]" dimensionUniqueName="[Emp_Data]" displayFolder="" count="0" memberValueDatatype="130" unbalanced="0"/>
    <cacheHierarchy uniqueName="[Emp_Data].[Check_Out]" caption="Check_Out" attribute="1" defaultMemberUniqueName="[Emp_Data].[Check_Out].[All]" allUniqueName="[Emp_Data].[Check_Out].[All]" dimensionUniqueName="[Emp_Data]" displayFolder="" count="0" memberValueDatatype="130" unbalanced="0"/>
    <cacheHierarchy uniqueName="[Emp_Data].[Leave_Type]" caption="Leave_Type" attribute="1" defaultMemberUniqueName="[Emp_Data].[Leave_Type].[All]" allUniqueName="[Emp_Data].[Leave_Type].[All]" dimensionUniqueName="[Emp_Data]" displayFolder="" count="0" memberValueDatatype="130" unbalanced="0"/>
    <cacheHierarchy uniqueName="[Emp_Data].[Basic_Salary.1]" caption="Basic_Salary.1" attribute="1" defaultMemberUniqueName="[Emp_Data].[Basic_Salary.1].[All]" allUniqueName="[Emp_Data].[Basic_Salary.1].[All]" dimensionUniqueName="[Emp_Data]" displayFolder="" count="0" memberValueDatatype="20" unbalanced="0"/>
    <cacheHierarchy uniqueName="[Emp_Data].[HRA]" caption="HRA" attribute="1" defaultMemberUniqueName="[Emp_Data].[HRA].[All]" allUniqueName="[Emp_Data].[HRA].[All]" dimensionUniqueName="[Emp_Data]" displayFolder="" count="0" memberValueDatatype="20" unbalanced="0"/>
    <cacheHierarchy uniqueName="[Emp_Data].[Conveyance]" caption="Conveyance" attribute="1" defaultMemberUniqueName="[Emp_Data].[Conveyance].[All]" allUniqueName="[Emp_Data].[Conveyance].[All]" dimensionUniqueName="[Emp_Data]" displayFolder="" count="0" memberValueDatatype="20" unbalanced="0"/>
    <cacheHierarchy uniqueName="[Emp_Data].[Medical_Allowance]" caption="Medical_Allowance" attribute="1" defaultMemberUniqueName="[Emp_Data].[Medical_Allowance].[All]" allUniqueName="[Emp_Data].[Medical_Allowance].[All]" dimensionUniqueName="[Emp_Data]" displayFolder="" count="0" memberValueDatatype="20" unbalanced="0"/>
    <cacheHierarchy uniqueName="[Emp_Data].[Special_Allowance]" caption="Special_Allowance" attribute="1" defaultMemberUniqueName="[Emp_Data].[Special_Allowance].[All]" allUniqueName="[Emp_Data].[Special_Allowance].[All]" dimensionUniqueName="[Emp_Data]" displayFolder="" count="0" memberValueDatatype="20" unbalanced="0"/>
    <cacheHierarchy uniqueName="[Emp_Data].[OT_Hours]" caption="OT_Hours" attribute="1" defaultMemberUniqueName="[Emp_Data].[OT_Hours].[All]" allUniqueName="[Emp_Data].[OT_Hours].[All]" dimensionUniqueName="[Emp_Data]" displayFolder="" count="0" memberValueDatatype="20" unbalanced="0"/>
    <cacheHierarchy uniqueName="[Emp_Data].[OT_Amount]" caption="OT_Amount" attribute="1" defaultMemberUniqueName="[Emp_Data].[OT_Amount].[All]" allUniqueName="[Emp_Data].[OT_Amount].[All]" dimensionUniqueName="[Emp_Data]" displayFolder="" count="0" memberValueDatatype="20" unbalanced="0"/>
    <cacheHierarchy uniqueName="[Emp_Data].[Gross_Salary]" caption="Gross_Salary" attribute="1" defaultMemberUniqueName="[Emp_Data].[Gross_Salary].[All]" allUniqueName="[Emp_Data].[Gross_Salary].[All]" dimensionUniqueName="[Emp_Data]" displayFolder="" count="0" memberValueDatatype="20" unbalanced="0"/>
    <cacheHierarchy uniqueName="[Emp_Data].[PF]" caption="PF" attribute="1" defaultMemberUniqueName="[Emp_Data].[PF].[All]" allUniqueName="[Emp_Data].[PF].[All]" dimensionUniqueName="[Emp_Data]" displayFolder="" count="0" memberValueDatatype="20" unbalanced="0"/>
    <cacheHierarchy uniqueName="[Emp_Data].[ESI]" caption="ESI" attribute="1" defaultMemberUniqueName="[Emp_Data].[ESI].[All]" allUniqueName="[Emp_Data].[ESI].[All]" dimensionUniqueName="[Emp_Data]" displayFolder="" count="0" memberValueDatatype="20" unbalanced="0"/>
    <cacheHierarchy uniqueName="[Emp_Data].[TDS]" caption="TDS" attribute="1" defaultMemberUniqueName="[Emp_Data].[TDS].[All]" allUniqueName="[Emp_Data].[TDS].[All]" dimensionUniqueName="[Emp_Data]" displayFolder="" count="0" memberValueDatatype="20" unbalanced="0"/>
    <cacheHierarchy uniqueName="[Emp_Data].[Other_Deductions]" caption="Other_Deductions" attribute="1" defaultMemberUniqueName="[Emp_Data].[Other_Deductions].[All]" allUniqueName="[Emp_Data].[Other_Deductions].[All]" dimensionUniqueName="[Emp_Data]" displayFolder="" count="0" memberValueDatatype="20" unbalanced="0"/>
    <cacheHierarchy uniqueName="[Emp_Data].[Total_Deductions]" caption="Total_Deductions" attribute="1" defaultMemberUniqueName="[Emp_Data].[Total_Deductions].[All]" allUniqueName="[Emp_Data].[Total_Deductions].[All]" dimensionUniqueName="[Emp_Data]" displayFolder="" count="0" memberValueDatatype="20" unbalanced="0"/>
    <cacheHierarchy uniqueName="[Emp_Data].[Net_Salary]" caption="Net_Salary" attribute="1" defaultMemberUniqueName="[Emp_Data].[Net_Salary].[All]" allUniqueName="[Emp_Data].[Net_Salary].[All]" dimensionUniqueName="[Emp_Data]" displayFolder="" count="0" memberValueDatatype="20" unbalanced="0"/>
    <cacheHierarchy uniqueName="[Emp_Data].[Present_Flag]" caption="Present_Flag" attribute="1" defaultMemberUniqueName="[Emp_Data].[Present_Flag].[All]" allUniqueName="[Emp_Data].[Present_Flag].[All]" dimensionUniqueName="[Emp_Data]" displayFolder="" count="0" memberValueDatatype="20" unbalanced="0"/>
    <cacheHierarchy uniqueName="[Emp_Data].[Absent_Flag]" caption="Absent_Flag" attribute="1" defaultMemberUniqueName="[Emp_Data].[Absent_Flag].[All]" allUniqueName="[Emp_Data].[Absent_Flag].[All]" dimensionUniqueName="[Emp_Data]" displayFolder="" count="0" memberValueDatatype="20" unbalanced="0"/>
    <cacheHierarchy uniqueName="[Emp_Data].[Late_Flag]" caption="Late_Flag" attribute="1" defaultMemberUniqueName="[Emp_Data].[Late_Flag].[All]" allUniqueName="[Emp_Data].[Late_Flag].[All]" dimensionUniqueName="[Emp_Data]" displayFolder="" count="0" memberValueDatatype="20" unbalanced="0"/>
    <cacheHierarchy uniqueName="[Emp_Data].[Leave_Flag]" caption="Leave_Flag" attribute="1" defaultMemberUniqueName="[Emp_Data].[Leave_Flag].[All]" allUniqueName="[Emp_Data].[Leave_Flag].[All]" dimensionUniqueName="[Emp_Data]" displayFolder="" count="0" memberValueDatatype="20" unbalanced="0"/>
    <cacheHierarchy uniqueName="[Measures].[__XL_Count Emp_Data]" caption="__XL_Count Emp_Data" measure="1" displayFolder="" measureGroup="Emp_Data" count="0" hidden="1"/>
    <cacheHierarchy uniqueName="[Measures].[__No measures defined]" caption="__No measures defined" measure="1" displayFolder="" count="0" hidden="1"/>
    <cacheHierarchy uniqueName="[Measures].[Count of Employee_ID]" caption="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Distinct Count of Employee_ID]" caption="Distinct 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Sum of Present_Flag]" caption="Sum of Present_Flag" measure="1" displayFolder="" measureGroup="Emp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Distinct Count of Present_Flag]" caption="Distinct Count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Sum of Absent_Flag]" caption="Sum of Absent_Flag" measure="1" displayFolder="" measureGroup="Emp_Data"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Leave_Flag]" caption="Sum of Leave_Flag" measure="1" displayFolder="" measureGroup="Emp_Data"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Late_Flag]" caption="Sum of Late_Flag" measure="1" displayFolder="" measureGroup="Emp_Data" count="0" hidden="1">
      <extLst>
        <ext xmlns:x15="http://schemas.microsoft.com/office/spreadsheetml/2010/11/main" uri="{B97F6D7D-B522-45F9-BDA1-12C45D357490}">
          <x15:cacheHierarchy aggregatedColumn="28"/>
        </ext>
      </extLst>
    </cacheHierarchy>
    <cacheHierarchy uniqueName="[Measures].[Sum of Gross_Salary]" caption="Sum of Gross_Salary" measure="1" displayFolder="" measureGroup="Emp_Data" count="0" hidden="1">
      <extLst>
        <ext xmlns:x15="http://schemas.microsoft.com/office/spreadsheetml/2010/11/main" uri="{B97F6D7D-B522-45F9-BDA1-12C45D357490}">
          <x15:cacheHierarchy aggregatedColumn="19"/>
        </ext>
      </extLst>
    </cacheHierarchy>
    <cacheHierarchy uniqueName="[Measures].[Sum of Net_Salary]" caption="Sum of Net_Salary" measure="1" displayFolder="" measureGroup="Emp_Data" count="0" hidden="1">
      <extLst>
        <ext xmlns:x15="http://schemas.microsoft.com/office/spreadsheetml/2010/11/main" uri="{B97F6D7D-B522-45F9-BDA1-12C45D357490}">
          <x15:cacheHierarchy aggregatedColumn="25"/>
        </ext>
      </extLst>
    </cacheHierarchy>
    <cacheHierarchy uniqueName="[Measures].[Sum of OT_Hours]" caption="Sum of OT_Hours" measure="1" displayFolder="" measureGroup="Emp_Data" count="0" hidden="1">
      <extLst>
        <ext xmlns:x15="http://schemas.microsoft.com/office/spreadsheetml/2010/11/main" uri="{B97F6D7D-B522-45F9-BDA1-12C45D357490}">
          <x15:cacheHierarchy aggregatedColumn="17"/>
        </ext>
      </extLst>
    </cacheHierarchy>
    <cacheHierarchy uniqueName="[Measures].[Sum of OT_Amount]" caption="Sum of OT_Amount" measure="1" displayFolder="" measureGroup="Emp_Data" count="0" hidden="1">
      <extLst>
        <ext xmlns:x15="http://schemas.microsoft.com/office/spreadsheetml/2010/11/main" uri="{B97F6D7D-B522-45F9-BDA1-12C45D357490}">
          <x15:cacheHierarchy aggregatedColumn="18"/>
        </ext>
      </extLst>
    </cacheHierarchy>
    <cacheHierarchy uniqueName="[Measures].[Count of Leave_Type]" caption="Count of Leave_Type" measure="1" displayFolder="" measureGroup="Emp_Data" count="0" hidden="1">
      <extLst>
        <ext xmlns:x15="http://schemas.microsoft.com/office/spreadsheetml/2010/11/main" uri="{B97F6D7D-B522-45F9-BDA1-12C45D357490}">
          <x15:cacheHierarchy aggregatedColumn="11"/>
        </ext>
      </extLst>
    </cacheHierarchy>
    <cacheHierarchy uniqueName="[Measures].[Sum of PF]" caption="Sum of PF" measure="1" displayFolder="" measureGroup="Emp_Data" count="0" hidden="1">
      <extLst>
        <ext xmlns:x15="http://schemas.microsoft.com/office/spreadsheetml/2010/11/main" uri="{B97F6D7D-B522-45F9-BDA1-12C45D357490}">
          <x15:cacheHierarchy aggregatedColumn="20"/>
        </ext>
      </extLst>
    </cacheHierarchy>
    <cacheHierarchy uniqueName="[Measures].[Sum of ESI]" caption="Sum of ESI" measure="1" displayFolder="" measureGroup="Emp_Data" count="0" hidden="1">
      <extLst>
        <ext xmlns:x15="http://schemas.microsoft.com/office/spreadsheetml/2010/11/main" uri="{B97F6D7D-B522-45F9-BDA1-12C45D357490}">
          <x15:cacheHierarchy aggregatedColumn="21"/>
        </ext>
      </extLst>
    </cacheHierarchy>
    <cacheHierarchy uniqueName="[Measures].[Sum of TDS]" caption="Sum of TDS" measure="1" displayFolder="" measureGroup="Emp_Data" count="0" hidden="1">
      <extLst>
        <ext xmlns:x15="http://schemas.microsoft.com/office/spreadsheetml/2010/11/main" uri="{B97F6D7D-B522-45F9-BDA1-12C45D357490}">
          <x15:cacheHierarchy aggregatedColumn="22"/>
        </ext>
      </extLst>
    </cacheHierarchy>
    <cacheHierarchy uniqueName="[Measures].[Sum of Other_Deductions]" caption="Sum of Other_Deductions" measure="1" displayFolder="" measureGroup="Emp_Data" count="0" hidden="1">
      <extLst>
        <ext xmlns:x15="http://schemas.microsoft.com/office/spreadsheetml/2010/11/main" uri="{B97F6D7D-B522-45F9-BDA1-12C45D357490}">
          <x15:cacheHierarchy aggregatedColumn="23"/>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SH JADHAV" refreshedDate="46283.277672337965" backgroundQuery="1" createdVersion="8" refreshedVersion="8" minRefreshableVersion="3" recordCount="0" supportSubquery="1" supportAdvancedDrill="1" xr:uid="{E9E67B2A-DB5C-405F-8C7D-0A19794F1CFE}">
  <cacheSource type="external" connectionId="6"/>
  <cacheFields count="2">
    <cacheField name="[Measures].[Sum of Gross_Salary]" caption="Sum of Gross_Salary" numFmtId="0" hierarchy="39" level="32767"/>
    <cacheField name="[Emp_Data].[Department].[Department]" caption="Department" numFmtId="0" hierarchy="3" level="1">
      <sharedItems containsSemiMixedTypes="0" containsNonDate="0" containsString="0"/>
    </cacheField>
  </cacheFields>
  <cacheHierarchies count="48">
    <cacheHierarchy uniqueName="[Emp_Data].[Date]" caption="Date" attribute="1" time="1" defaultMemberUniqueName="[Emp_Data].[Date].[All]" allUniqueName="[Emp_Data].[Date].[All]" dimensionUniqueName="[Emp_Data]" displayFolder="" count="0" memberValueDatatype="7" unbalanced="0"/>
    <cacheHierarchy uniqueName="[Emp_Data].[Employee_ID]" caption="Employee_ID" attribute="1" defaultMemberUniqueName="[Emp_Data].[Employee_ID].[All]" allUniqueName="[Emp_Data].[Employee_ID].[All]" dimensionUniqueName="[Emp_Data]" displayFolder="" count="2" memberValueDatatype="130" unbalanced="0"/>
    <cacheHierarchy uniqueName="[Emp_Data].[Employee_Name]" caption="Employee_Name" attribute="1" defaultMemberUniqueName="[Emp_Data].[Employee_Name].[All]" allUniqueName="[Emp_Data].[Employee_Name].[All]" dimensionUniqueName="[Emp_Data]" displayFolder="" count="0" memberValueDatatype="130" unbalanced="0"/>
    <cacheHierarchy uniqueName="[Emp_Data].[Department]" caption="Department" attribute="1" defaultMemberUniqueName="[Emp_Data].[Department].[All]" allUniqueName="[Emp_Data].[Department].[All]" dimensionUniqueName="[Emp_Data]" displayFolder="" count="2" memberValueDatatype="130" unbalanced="0">
      <fieldsUsage count="2">
        <fieldUsage x="-1"/>
        <fieldUsage x="1"/>
      </fieldsUsage>
    </cacheHierarchy>
    <cacheHierarchy uniqueName="[Emp_Data].[Location]" caption="Location" attribute="1" defaultMemberUniqueName="[Emp_Data].[Location].[All]" allUniqueName="[Emp_Data].[Location].[All]" dimensionUniqueName="[Emp_Data]" displayFolder="" count="2" memberValueDatatype="130" unbalanced="0"/>
    <cacheHierarchy uniqueName="[Emp_Data].[Employee_Type]" caption="Employee_Type" attribute="1" defaultMemberUniqueName="[Emp_Data].[Employee_Type].[All]" allUniqueName="[Emp_Data].[Employee_Type].[All]" dimensionUniqueName="[Emp_Data]" displayFolder="" count="2" memberValueDatatype="130" unbalanced="0"/>
    <cacheHierarchy uniqueName="[Emp_Data].[Date_of_Joining]" caption="Date_of_Joining" attribute="1" time="1" defaultMemberUniqueName="[Emp_Data].[Date_of_Joining].[All]" allUniqueName="[Emp_Data].[Date_of_Joining].[All]" dimensionUniqueName="[Emp_Data]" displayFolder="" count="0" memberValueDatatype="7" unbalanced="0"/>
    <cacheHierarchy uniqueName="[Emp_Data].[Basic_Salary]" caption="Basic_Salary" attribute="1" defaultMemberUniqueName="[Emp_Data].[Basic_Salary].[All]" allUniqueName="[Emp_Data].[Basic_Salary].[All]" dimensionUniqueName="[Emp_Data]" displayFolder="" count="0" memberValueDatatype="20" unbalanced="0"/>
    <cacheHierarchy uniqueName="[Emp_Data].[Status]" caption="Status" attribute="1" defaultMemberUniqueName="[Emp_Data].[Status].[All]" allUniqueName="[Emp_Data].[Status].[All]" dimensionUniqueName="[Emp_Data]" displayFolder="" count="0" memberValueDatatype="130" unbalanced="0"/>
    <cacheHierarchy uniqueName="[Emp_Data].[Check_In]" caption="Check_In" attribute="1" defaultMemberUniqueName="[Emp_Data].[Check_In].[All]" allUniqueName="[Emp_Data].[Check_In].[All]" dimensionUniqueName="[Emp_Data]" displayFolder="" count="0" memberValueDatatype="130" unbalanced="0"/>
    <cacheHierarchy uniqueName="[Emp_Data].[Check_Out]" caption="Check_Out" attribute="1" defaultMemberUniqueName="[Emp_Data].[Check_Out].[All]" allUniqueName="[Emp_Data].[Check_Out].[All]" dimensionUniqueName="[Emp_Data]" displayFolder="" count="0" memberValueDatatype="130" unbalanced="0"/>
    <cacheHierarchy uniqueName="[Emp_Data].[Leave_Type]" caption="Leave_Type" attribute="1" defaultMemberUniqueName="[Emp_Data].[Leave_Type].[All]" allUniqueName="[Emp_Data].[Leave_Type].[All]" dimensionUniqueName="[Emp_Data]" displayFolder="" count="0" memberValueDatatype="130" unbalanced="0"/>
    <cacheHierarchy uniqueName="[Emp_Data].[Basic_Salary.1]" caption="Basic_Salary.1" attribute="1" defaultMemberUniqueName="[Emp_Data].[Basic_Salary.1].[All]" allUniqueName="[Emp_Data].[Basic_Salary.1].[All]" dimensionUniqueName="[Emp_Data]" displayFolder="" count="0" memberValueDatatype="20" unbalanced="0"/>
    <cacheHierarchy uniqueName="[Emp_Data].[HRA]" caption="HRA" attribute="1" defaultMemberUniqueName="[Emp_Data].[HRA].[All]" allUniqueName="[Emp_Data].[HRA].[All]" dimensionUniqueName="[Emp_Data]" displayFolder="" count="0" memberValueDatatype="20" unbalanced="0"/>
    <cacheHierarchy uniqueName="[Emp_Data].[Conveyance]" caption="Conveyance" attribute="1" defaultMemberUniqueName="[Emp_Data].[Conveyance].[All]" allUniqueName="[Emp_Data].[Conveyance].[All]" dimensionUniqueName="[Emp_Data]" displayFolder="" count="0" memberValueDatatype="20" unbalanced="0"/>
    <cacheHierarchy uniqueName="[Emp_Data].[Medical_Allowance]" caption="Medical_Allowance" attribute="1" defaultMemberUniqueName="[Emp_Data].[Medical_Allowance].[All]" allUniqueName="[Emp_Data].[Medical_Allowance].[All]" dimensionUniqueName="[Emp_Data]" displayFolder="" count="0" memberValueDatatype="20" unbalanced="0"/>
    <cacheHierarchy uniqueName="[Emp_Data].[Special_Allowance]" caption="Special_Allowance" attribute="1" defaultMemberUniqueName="[Emp_Data].[Special_Allowance].[All]" allUniqueName="[Emp_Data].[Special_Allowance].[All]" dimensionUniqueName="[Emp_Data]" displayFolder="" count="0" memberValueDatatype="20" unbalanced="0"/>
    <cacheHierarchy uniqueName="[Emp_Data].[OT_Hours]" caption="OT_Hours" attribute="1" defaultMemberUniqueName="[Emp_Data].[OT_Hours].[All]" allUniqueName="[Emp_Data].[OT_Hours].[All]" dimensionUniqueName="[Emp_Data]" displayFolder="" count="0" memberValueDatatype="20" unbalanced="0"/>
    <cacheHierarchy uniqueName="[Emp_Data].[OT_Amount]" caption="OT_Amount" attribute="1" defaultMemberUniqueName="[Emp_Data].[OT_Amount].[All]" allUniqueName="[Emp_Data].[OT_Amount].[All]" dimensionUniqueName="[Emp_Data]" displayFolder="" count="0" memberValueDatatype="20" unbalanced="0"/>
    <cacheHierarchy uniqueName="[Emp_Data].[Gross_Salary]" caption="Gross_Salary" attribute="1" defaultMemberUniqueName="[Emp_Data].[Gross_Salary].[All]" allUniqueName="[Emp_Data].[Gross_Salary].[All]" dimensionUniqueName="[Emp_Data]" displayFolder="" count="0" memberValueDatatype="20" unbalanced="0"/>
    <cacheHierarchy uniqueName="[Emp_Data].[PF]" caption="PF" attribute="1" defaultMemberUniqueName="[Emp_Data].[PF].[All]" allUniqueName="[Emp_Data].[PF].[All]" dimensionUniqueName="[Emp_Data]" displayFolder="" count="0" memberValueDatatype="20" unbalanced="0"/>
    <cacheHierarchy uniqueName="[Emp_Data].[ESI]" caption="ESI" attribute="1" defaultMemberUniqueName="[Emp_Data].[ESI].[All]" allUniqueName="[Emp_Data].[ESI].[All]" dimensionUniqueName="[Emp_Data]" displayFolder="" count="0" memberValueDatatype="20" unbalanced="0"/>
    <cacheHierarchy uniqueName="[Emp_Data].[TDS]" caption="TDS" attribute="1" defaultMemberUniqueName="[Emp_Data].[TDS].[All]" allUniqueName="[Emp_Data].[TDS].[All]" dimensionUniqueName="[Emp_Data]" displayFolder="" count="0" memberValueDatatype="20" unbalanced="0"/>
    <cacheHierarchy uniqueName="[Emp_Data].[Other_Deductions]" caption="Other_Deductions" attribute="1" defaultMemberUniqueName="[Emp_Data].[Other_Deductions].[All]" allUniqueName="[Emp_Data].[Other_Deductions].[All]" dimensionUniqueName="[Emp_Data]" displayFolder="" count="0" memberValueDatatype="20" unbalanced="0"/>
    <cacheHierarchy uniqueName="[Emp_Data].[Total_Deductions]" caption="Total_Deductions" attribute="1" defaultMemberUniqueName="[Emp_Data].[Total_Deductions].[All]" allUniqueName="[Emp_Data].[Total_Deductions].[All]" dimensionUniqueName="[Emp_Data]" displayFolder="" count="0" memberValueDatatype="20" unbalanced="0"/>
    <cacheHierarchy uniqueName="[Emp_Data].[Net_Salary]" caption="Net_Salary" attribute="1" defaultMemberUniqueName="[Emp_Data].[Net_Salary].[All]" allUniqueName="[Emp_Data].[Net_Salary].[All]" dimensionUniqueName="[Emp_Data]" displayFolder="" count="0" memberValueDatatype="20" unbalanced="0"/>
    <cacheHierarchy uniqueName="[Emp_Data].[Present_Flag]" caption="Present_Flag" attribute="1" defaultMemberUniqueName="[Emp_Data].[Present_Flag].[All]" allUniqueName="[Emp_Data].[Present_Flag].[All]" dimensionUniqueName="[Emp_Data]" displayFolder="" count="0" memberValueDatatype="20" unbalanced="0"/>
    <cacheHierarchy uniqueName="[Emp_Data].[Absent_Flag]" caption="Absent_Flag" attribute="1" defaultMemberUniqueName="[Emp_Data].[Absent_Flag].[All]" allUniqueName="[Emp_Data].[Absent_Flag].[All]" dimensionUniqueName="[Emp_Data]" displayFolder="" count="0" memberValueDatatype="20" unbalanced="0"/>
    <cacheHierarchy uniqueName="[Emp_Data].[Late_Flag]" caption="Late_Flag" attribute="1" defaultMemberUniqueName="[Emp_Data].[Late_Flag].[All]" allUniqueName="[Emp_Data].[Late_Flag].[All]" dimensionUniqueName="[Emp_Data]" displayFolder="" count="0" memberValueDatatype="20" unbalanced="0"/>
    <cacheHierarchy uniqueName="[Emp_Data].[Leave_Flag]" caption="Leave_Flag" attribute="1" defaultMemberUniqueName="[Emp_Data].[Leave_Flag].[All]" allUniqueName="[Emp_Data].[Leave_Flag].[All]" dimensionUniqueName="[Emp_Data]" displayFolder="" count="0" memberValueDatatype="20" unbalanced="0"/>
    <cacheHierarchy uniqueName="[Measures].[__XL_Count Emp_Data]" caption="__XL_Count Emp_Data" measure="1" displayFolder="" measureGroup="Emp_Data" count="0" hidden="1"/>
    <cacheHierarchy uniqueName="[Measures].[__No measures defined]" caption="__No measures defined" measure="1" displayFolder="" count="0" hidden="1"/>
    <cacheHierarchy uniqueName="[Measures].[Count of Employee_ID]" caption="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Distinct Count of Employee_ID]" caption="Distinct 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Sum of Present_Flag]" caption="Sum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Distinct Count of Present_Flag]" caption="Distinct Count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Sum of Absent_Flag]" caption="Sum of Absent_Flag" measure="1" displayFolder="" measureGroup="Emp_Data" count="0" hidden="1">
      <extLst>
        <ext xmlns:x15="http://schemas.microsoft.com/office/spreadsheetml/2010/11/main" uri="{B97F6D7D-B522-45F9-BDA1-12C45D357490}">
          <x15:cacheHierarchy aggregatedColumn="27"/>
        </ext>
      </extLst>
    </cacheHierarchy>
    <cacheHierarchy uniqueName="[Measures].[Sum of Leave_Flag]" caption="Sum of Leave_Flag" measure="1" displayFolder="" measureGroup="Emp_Data" count="0" hidden="1">
      <extLst>
        <ext xmlns:x15="http://schemas.microsoft.com/office/spreadsheetml/2010/11/main" uri="{B97F6D7D-B522-45F9-BDA1-12C45D357490}">
          <x15:cacheHierarchy aggregatedColumn="29"/>
        </ext>
      </extLst>
    </cacheHierarchy>
    <cacheHierarchy uniqueName="[Measures].[Sum of Late_Flag]" caption="Sum of Late_Flag" measure="1" displayFolder="" measureGroup="Emp_Data" count="0" hidden="1">
      <extLst>
        <ext xmlns:x15="http://schemas.microsoft.com/office/spreadsheetml/2010/11/main" uri="{B97F6D7D-B522-45F9-BDA1-12C45D357490}">
          <x15:cacheHierarchy aggregatedColumn="28"/>
        </ext>
      </extLst>
    </cacheHierarchy>
    <cacheHierarchy uniqueName="[Measures].[Sum of Gross_Salary]" caption="Sum of Gross_Salary" measure="1" displayFolder="" measureGroup="Emp_Data"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Net_Salary]" caption="Sum of Net_Salary" measure="1" displayFolder="" measureGroup="Emp_Data" count="0" hidden="1">
      <extLst>
        <ext xmlns:x15="http://schemas.microsoft.com/office/spreadsheetml/2010/11/main" uri="{B97F6D7D-B522-45F9-BDA1-12C45D357490}">
          <x15:cacheHierarchy aggregatedColumn="25"/>
        </ext>
      </extLst>
    </cacheHierarchy>
    <cacheHierarchy uniqueName="[Measures].[Sum of OT_Hours]" caption="Sum of OT_Hours" measure="1" displayFolder="" measureGroup="Emp_Data" count="0" hidden="1">
      <extLst>
        <ext xmlns:x15="http://schemas.microsoft.com/office/spreadsheetml/2010/11/main" uri="{B97F6D7D-B522-45F9-BDA1-12C45D357490}">
          <x15:cacheHierarchy aggregatedColumn="17"/>
        </ext>
      </extLst>
    </cacheHierarchy>
    <cacheHierarchy uniqueName="[Measures].[Sum of OT_Amount]" caption="Sum of OT_Amount" measure="1" displayFolder="" measureGroup="Emp_Data" count="0" hidden="1">
      <extLst>
        <ext xmlns:x15="http://schemas.microsoft.com/office/spreadsheetml/2010/11/main" uri="{B97F6D7D-B522-45F9-BDA1-12C45D357490}">
          <x15:cacheHierarchy aggregatedColumn="18"/>
        </ext>
      </extLst>
    </cacheHierarchy>
    <cacheHierarchy uniqueName="[Measures].[Count of Leave_Type]" caption="Count of Leave_Type" measure="1" displayFolder="" measureGroup="Emp_Data" count="0" hidden="1">
      <extLst>
        <ext xmlns:x15="http://schemas.microsoft.com/office/spreadsheetml/2010/11/main" uri="{B97F6D7D-B522-45F9-BDA1-12C45D357490}">
          <x15:cacheHierarchy aggregatedColumn="11"/>
        </ext>
      </extLst>
    </cacheHierarchy>
    <cacheHierarchy uniqueName="[Measures].[Sum of PF]" caption="Sum of PF" measure="1" displayFolder="" measureGroup="Emp_Data" count="0" hidden="1">
      <extLst>
        <ext xmlns:x15="http://schemas.microsoft.com/office/spreadsheetml/2010/11/main" uri="{B97F6D7D-B522-45F9-BDA1-12C45D357490}">
          <x15:cacheHierarchy aggregatedColumn="20"/>
        </ext>
      </extLst>
    </cacheHierarchy>
    <cacheHierarchy uniqueName="[Measures].[Sum of ESI]" caption="Sum of ESI" measure="1" displayFolder="" measureGroup="Emp_Data" count="0" hidden="1">
      <extLst>
        <ext xmlns:x15="http://schemas.microsoft.com/office/spreadsheetml/2010/11/main" uri="{B97F6D7D-B522-45F9-BDA1-12C45D357490}">
          <x15:cacheHierarchy aggregatedColumn="21"/>
        </ext>
      </extLst>
    </cacheHierarchy>
    <cacheHierarchy uniqueName="[Measures].[Sum of TDS]" caption="Sum of TDS" measure="1" displayFolder="" measureGroup="Emp_Data" count="0" hidden="1">
      <extLst>
        <ext xmlns:x15="http://schemas.microsoft.com/office/spreadsheetml/2010/11/main" uri="{B97F6D7D-B522-45F9-BDA1-12C45D357490}">
          <x15:cacheHierarchy aggregatedColumn="22"/>
        </ext>
      </extLst>
    </cacheHierarchy>
    <cacheHierarchy uniqueName="[Measures].[Sum of Other_Deductions]" caption="Sum of Other_Deductions" measure="1" displayFolder="" measureGroup="Emp_Data" count="0" hidden="1">
      <extLst>
        <ext xmlns:x15="http://schemas.microsoft.com/office/spreadsheetml/2010/11/main" uri="{B97F6D7D-B522-45F9-BDA1-12C45D357490}">
          <x15:cacheHierarchy aggregatedColumn="23"/>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SH JADHAV" refreshedDate="46283.277673495373" backgroundQuery="1" createdVersion="8" refreshedVersion="8" minRefreshableVersion="3" recordCount="0" supportSubquery="1" supportAdvancedDrill="1" xr:uid="{CEF4E7E0-E0EC-48C6-9405-78CD2D303573}">
  <cacheSource type="external" connectionId="6"/>
  <cacheFields count="2">
    <cacheField name="[Measures].[Sum of Net_Salary]" caption="Sum of Net_Salary" numFmtId="0" hierarchy="40" level="32767"/>
    <cacheField name="[Emp_Data].[Department].[Department]" caption="Department" numFmtId="0" hierarchy="3" level="1">
      <sharedItems containsSemiMixedTypes="0" containsNonDate="0" containsString="0"/>
    </cacheField>
  </cacheFields>
  <cacheHierarchies count="48">
    <cacheHierarchy uniqueName="[Emp_Data].[Date]" caption="Date" attribute="1" time="1" defaultMemberUniqueName="[Emp_Data].[Date].[All]" allUniqueName="[Emp_Data].[Date].[All]" dimensionUniqueName="[Emp_Data]" displayFolder="" count="0" memberValueDatatype="7" unbalanced="0"/>
    <cacheHierarchy uniqueName="[Emp_Data].[Employee_ID]" caption="Employee_ID" attribute="1" defaultMemberUniqueName="[Emp_Data].[Employee_ID].[All]" allUniqueName="[Emp_Data].[Employee_ID].[All]" dimensionUniqueName="[Emp_Data]" displayFolder="" count="2" memberValueDatatype="130" unbalanced="0"/>
    <cacheHierarchy uniqueName="[Emp_Data].[Employee_Name]" caption="Employee_Name" attribute="1" defaultMemberUniqueName="[Emp_Data].[Employee_Name].[All]" allUniqueName="[Emp_Data].[Employee_Name].[All]" dimensionUniqueName="[Emp_Data]" displayFolder="" count="0" memberValueDatatype="130" unbalanced="0"/>
    <cacheHierarchy uniqueName="[Emp_Data].[Department]" caption="Department" attribute="1" defaultMemberUniqueName="[Emp_Data].[Department].[All]" allUniqueName="[Emp_Data].[Department].[All]" dimensionUniqueName="[Emp_Data]" displayFolder="" count="2" memberValueDatatype="130" unbalanced="0">
      <fieldsUsage count="2">
        <fieldUsage x="-1"/>
        <fieldUsage x="1"/>
      </fieldsUsage>
    </cacheHierarchy>
    <cacheHierarchy uniqueName="[Emp_Data].[Location]" caption="Location" attribute="1" defaultMemberUniqueName="[Emp_Data].[Location].[All]" allUniqueName="[Emp_Data].[Location].[All]" dimensionUniqueName="[Emp_Data]" displayFolder="" count="2" memberValueDatatype="130" unbalanced="0"/>
    <cacheHierarchy uniqueName="[Emp_Data].[Employee_Type]" caption="Employee_Type" attribute="1" defaultMemberUniqueName="[Emp_Data].[Employee_Type].[All]" allUniqueName="[Emp_Data].[Employee_Type].[All]" dimensionUniqueName="[Emp_Data]" displayFolder="" count="2" memberValueDatatype="130" unbalanced="0"/>
    <cacheHierarchy uniqueName="[Emp_Data].[Date_of_Joining]" caption="Date_of_Joining" attribute="1" time="1" defaultMemberUniqueName="[Emp_Data].[Date_of_Joining].[All]" allUniqueName="[Emp_Data].[Date_of_Joining].[All]" dimensionUniqueName="[Emp_Data]" displayFolder="" count="0" memberValueDatatype="7" unbalanced="0"/>
    <cacheHierarchy uniqueName="[Emp_Data].[Basic_Salary]" caption="Basic_Salary" attribute="1" defaultMemberUniqueName="[Emp_Data].[Basic_Salary].[All]" allUniqueName="[Emp_Data].[Basic_Salary].[All]" dimensionUniqueName="[Emp_Data]" displayFolder="" count="0" memberValueDatatype="20" unbalanced="0"/>
    <cacheHierarchy uniqueName="[Emp_Data].[Status]" caption="Status" attribute="1" defaultMemberUniqueName="[Emp_Data].[Status].[All]" allUniqueName="[Emp_Data].[Status].[All]" dimensionUniqueName="[Emp_Data]" displayFolder="" count="0" memberValueDatatype="130" unbalanced="0"/>
    <cacheHierarchy uniqueName="[Emp_Data].[Check_In]" caption="Check_In" attribute="1" defaultMemberUniqueName="[Emp_Data].[Check_In].[All]" allUniqueName="[Emp_Data].[Check_In].[All]" dimensionUniqueName="[Emp_Data]" displayFolder="" count="0" memberValueDatatype="130" unbalanced="0"/>
    <cacheHierarchy uniqueName="[Emp_Data].[Check_Out]" caption="Check_Out" attribute="1" defaultMemberUniqueName="[Emp_Data].[Check_Out].[All]" allUniqueName="[Emp_Data].[Check_Out].[All]" dimensionUniqueName="[Emp_Data]" displayFolder="" count="0" memberValueDatatype="130" unbalanced="0"/>
    <cacheHierarchy uniqueName="[Emp_Data].[Leave_Type]" caption="Leave_Type" attribute="1" defaultMemberUniqueName="[Emp_Data].[Leave_Type].[All]" allUniqueName="[Emp_Data].[Leave_Type].[All]" dimensionUniqueName="[Emp_Data]" displayFolder="" count="0" memberValueDatatype="130" unbalanced="0"/>
    <cacheHierarchy uniqueName="[Emp_Data].[Basic_Salary.1]" caption="Basic_Salary.1" attribute="1" defaultMemberUniqueName="[Emp_Data].[Basic_Salary.1].[All]" allUniqueName="[Emp_Data].[Basic_Salary.1].[All]" dimensionUniqueName="[Emp_Data]" displayFolder="" count="0" memberValueDatatype="20" unbalanced="0"/>
    <cacheHierarchy uniqueName="[Emp_Data].[HRA]" caption="HRA" attribute="1" defaultMemberUniqueName="[Emp_Data].[HRA].[All]" allUniqueName="[Emp_Data].[HRA].[All]" dimensionUniqueName="[Emp_Data]" displayFolder="" count="0" memberValueDatatype="20" unbalanced="0"/>
    <cacheHierarchy uniqueName="[Emp_Data].[Conveyance]" caption="Conveyance" attribute="1" defaultMemberUniqueName="[Emp_Data].[Conveyance].[All]" allUniqueName="[Emp_Data].[Conveyance].[All]" dimensionUniqueName="[Emp_Data]" displayFolder="" count="0" memberValueDatatype="20" unbalanced="0"/>
    <cacheHierarchy uniqueName="[Emp_Data].[Medical_Allowance]" caption="Medical_Allowance" attribute="1" defaultMemberUniqueName="[Emp_Data].[Medical_Allowance].[All]" allUniqueName="[Emp_Data].[Medical_Allowance].[All]" dimensionUniqueName="[Emp_Data]" displayFolder="" count="0" memberValueDatatype="20" unbalanced="0"/>
    <cacheHierarchy uniqueName="[Emp_Data].[Special_Allowance]" caption="Special_Allowance" attribute="1" defaultMemberUniqueName="[Emp_Data].[Special_Allowance].[All]" allUniqueName="[Emp_Data].[Special_Allowance].[All]" dimensionUniqueName="[Emp_Data]" displayFolder="" count="0" memberValueDatatype="20" unbalanced="0"/>
    <cacheHierarchy uniqueName="[Emp_Data].[OT_Hours]" caption="OT_Hours" attribute="1" defaultMemberUniqueName="[Emp_Data].[OT_Hours].[All]" allUniqueName="[Emp_Data].[OT_Hours].[All]" dimensionUniqueName="[Emp_Data]" displayFolder="" count="0" memberValueDatatype="20" unbalanced="0"/>
    <cacheHierarchy uniqueName="[Emp_Data].[OT_Amount]" caption="OT_Amount" attribute="1" defaultMemberUniqueName="[Emp_Data].[OT_Amount].[All]" allUniqueName="[Emp_Data].[OT_Amount].[All]" dimensionUniqueName="[Emp_Data]" displayFolder="" count="0" memberValueDatatype="20" unbalanced="0"/>
    <cacheHierarchy uniqueName="[Emp_Data].[Gross_Salary]" caption="Gross_Salary" attribute="1" defaultMemberUniqueName="[Emp_Data].[Gross_Salary].[All]" allUniqueName="[Emp_Data].[Gross_Salary].[All]" dimensionUniqueName="[Emp_Data]" displayFolder="" count="0" memberValueDatatype="20" unbalanced="0"/>
    <cacheHierarchy uniqueName="[Emp_Data].[PF]" caption="PF" attribute="1" defaultMemberUniqueName="[Emp_Data].[PF].[All]" allUniqueName="[Emp_Data].[PF].[All]" dimensionUniqueName="[Emp_Data]" displayFolder="" count="0" memberValueDatatype="20" unbalanced="0"/>
    <cacheHierarchy uniqueName="[Emp_Data].[ESI]" caption="ESI" attribute="1" defaultMemberUniqueName="[Emp_Data].[ESI].[All]" allUniqueName="[Emp_Data].[ESI].[All]" dimensionUniqueName="[Emp_Data]" displayFolder="" count="0" memberValueDatatype="20" unbalanced="0"/>
    <cacheHierarchy uniqueName="[Emp_Data].[TDS]" caption="TDS" attribute="1" defaultMemberUniqueName="[Emp_Data].[TDS].[All]" allUniqueName="[Emp_Data].[TDS].[All]" dimensionUniqueName="[Emp_Data]" displayFolder="" count="0" memberValueDatatype="20" unbalanced="0"/>
    <cacheHierarchy uniqueName="[Emp_Data].[Other_Deductions]" caption="Other_Deductions" attribute="1" defaultMemberUniqueName="[Emp_Data].[Other_Deductions].[All]" allUniqueName="[Emp_Data].[Other_Deductions].[All]" dimensionUniqueName="[Emp_Data]" displayFolder="" count="0" memberValueDatatype="20" unbalanced="0"/>
    <cacheHierarchy uniqueName="[Emp_Data].[Total_Deductions]" caption="Total_Deductions" attribute="1" defaultMemberUniqueName="[Emp_Data].[Total_Deductions].[All]" allUniqueName="[Emp_Data].[Total_Deductions].[All]" dimensionUniqueName="[Emp_Data]" displayFolder="" count="0" memberValueDatatype="20" unbalanced="0"/>
    <cacheHierarchy uniqueName="[Emp_Data].[Net_Salary]" caption="Net_Salary" attribute="1" defaultMemberUniqueName="[Emp_Data].[Net_Salary].[All]" allUniqueName="[Emp_Data].[Net_Salary].[All]" dimensionUniqueName="[Emp_Data]" displayFolder="" count="0" memberValueDatatype="20" unbalanced="0"/>
    <cacheHierarchy uniqueName="[Emp_Data].[Present_Flag]" caption="Present_Flag" attribute="1" defaultMemberUniqueName="[Emp_Data].[Present_Flag].[All]" allUniqueName="[Emp_Data].[Present_Flag].[All]" dimensionUniqueName="[Emp_Data]" displayFolder="" count="0" memberValueDatatype="20" unbalanced="0"/>
    <cacheHierarchy uniqueName="[Emp_Data].[Absent_Flag]" caption="Absent_Flag" attribute="1" defaultMemberUniqueName="[Emp_Data].[Absent_Flag].[All]" allUniqueName="[Emp_Data].[Absent_Flag].[All]" dimensionUniqueName="[Emp_Data]" displayFolder="" count="0" memberValueDatatype="20" unbalanced="0"/>
    <cacheHierarchy uniqueName="[Emp_Data].[Late_Flag]" caption="Late_Flag" attribute="1" defaultMemberUniqueName="[Emp_Data].[Late_Flag].[All]" allUniqueName="[Emp_Data].[Late_Flag].[All]" dimensionUniqueName="[Emp_Data]" displayFolder="" count="0" memberValueDatatype="20" unbalanced="0"/>
    <cacheHierarchy uniqueName="[Emp_Data].[Leave_Flag]" caption="Leave_Flag" attribute="1" defaultMemberUniqueName="[Emp_Data].[Leave_Flag].[All]" allUniqueName="[Emp_Data].[Leave_Flag].[All]" dimensionUniqueName="[Emp_Data]" displayFolder="" count="0" memberValueDatatype="20" unbalanced="0"/>
    <cacheHierarchy uniqueName="[Measures].[__XL_Count Emp_Data]" caption="__XL_Count Emp_Data" measure="1" displayFolder="" measureGroup="Emp_Data" count="0" hidden="1"/>
    <cacheHierarchy uniqueName="[Measures].[__No measures defined]" caption="__No measures defined" measure="1" displayFolder="" count="0" hidden="1"/>
    <cacheHierarchy uniqueName="[Measures].[Count of Employee_ID]" caption="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Distinct Count of Employee_ID]" caption="Distinct 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Sum of Present_Flag]" caption="Sum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Distinct Count of Present_Flag]" caption="Distinct Count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Sum of Absent_Flag]" caption="Sum of Absent_Flag" measure="1" displayFolder="" measureGroup="Emp_Data" count="0" hidden="1">
      <extLst>
        <ext xmlns:x15="http://schemas.microsoft.com/office/spreadsheetml/2010/11/main" uri="{B97F6D7D-B522-45F9-BDA1-12C45D357490}">
          <x15:cacheHierarchy aggregatedColumn="27"/>
        </ext>
      </extLst>
    </cacheHierarchy>
    <cacheHierarchy uniqueName="[Measures].[Sum of Leave_Flag]" caption="Sum of Leave_Flag" measure="1" displayFolder="" measureGroup="Emp_Data" count="0" hidden="1">
      <extLst>
        <ext xmlns:x15="http://schemas.microsoft.com/office/spreadsheetml/2010/11/main" uri="{B97F6D7D-B522-45F9-BDA1-12C45D357490}">
          <x15:cacheHierarchy aggregatedColumn="29"/>
        </ext>
      </extLst>
    </cacheHierarchy>
    <cacheHierarchy uniqueName="[Measures].[Sum of Late_Flag]" caption="Sum of Late_Flag" measure="1" displayFolder="" measureGroup="Emp_Data" count="0" hidden="1">
      <extLst>
        <ext xmlns:x15="http://schemas.microsoft.com/office/spreadsheetml/2010/11/main" uri="{B97F6D7D-B522-45F9-BDA1-12C45D357490}">
          <x15:cacheHierarchy aggregatedColumn="28"/>
        </ext>
      </extLst>
    </cacheHierarchy>
    <cacheHierarchy uniqueName="[Measures].[Sum of Gross_Salary]" caption="Sum of Gross_Salary" measure="1" displayFolder="" measureGroup="Emp_Data" count="0" hidden="1">
      <extLst>
        <ext xmlns:x15="http://schemas.microsoft.com/office/spreadsheetml/2010/11/main" uri="{B97F6D7D-B522-45F9-BDA1-12C45D357490}">
          <x15:cacheHierarchy aggregatedColumn="19"/>
        </ext>
      </extLst>
    </cacheHierarchy>
    <cacheHierarchy uniqueName="[Measures].[Sum of Net_Salary]" caption="Sum of Net_Salary" measure="1" displayFolder="" measureGroup="Emp_Data"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OT_Hours]" caption="Sum of OT_Hours" measure="1" displayFolder="" measureGroup="Emp_Data" count="0" hidden="1">
      <extLst>
        <ext xmlns:x15="http://schemas.microsoft.com/office/spreadsheetml/2010/11/main" uri="{B97F6D7D-B522-45F9-BDA1-12C45D357490}">
          <x15:cacheHierarchy aggregatedColumn="17"/>
        </ext>
      </extLst>
    </cacheHierarchy>
    <cacheHierarchy uniqueName="[Measures].[Sum of OT_Amount]" caption="Sum of OT_Amount" measure="1" displayFolder="" measureGroup="Emp_Data" count="0" hidden="1">
      <extLst>
        <ext xmlns:x15="http://schemas.microsoft.com/office/spreadsheetml/2010/11/main" uri="{B97F6D7D-B522-45F9-BDA1-12C45D357490}">
          <x15:cacheHierarchy aggregatedColumn="18"/>
        </ext>
      </extLst>
    </cacheHierarchy>
    <cacheHierarchy uniqueName="[Measures].[Count of Leave_Type]" caption="Count of Leave_Type" measure="1" displayFolder="" measureGroup="Emp_Data" count="0" hidden="1">
      <extLst>
        <ext xmlns:x15="http://schemas.microsoft.com/office/spreadsheetml/2010/11/main" uri="{B97F6D7D-B522-45F9-BDA1-12C45D357490}">
          <x15:cacheHierarchy aggregatedColumn="11"/>
        </ext>
      </extLst>
    </cacheHierarchy>
    <cacheHierarchy uniqueName="[Measures].[Sum of PF]" caption="Sum of PF" measure="1" displayFolder="" measureGroup="Emp_Data" count="0" hidden="1">
      <extLst>
        <ext xmlns:x15="http://schemas.microsoft.com/office/spreadsheetml/2010/11/main" uri="{B97F6D7D-B522-45F9-BDA1-12C45D357490}">
          <x15:cacheHierarchy aggregatedColumn="20"/>
        </ext>
      </extLst>
    </cacheHierarchy>
    <cacheHierarchy uniqueName="[Measures].[Sum of ESI]" caption="Sum of ESI" measure="1" displayFolder="" measureGroup="Emp_Data" count="0" hidden="1">
      <extLst>
        <ext xmlns:x15="http://schemas.microsoft.com/office/spreadsheetml/2010/11/main" uri="{B97F6D7D-B522-45F9-BDA1-12C45D357490}">
          <x15:cacheHierarchy aggregatedColumn="21"/>
        </ext>
      </extLst>
    </cacheHierarchy>
    <cacheHierarchy uniqueName="[Measures].[Sum of TDS]" caption="Sum of TDS" measure="1" displayFolder="" measureGroup="Emp_Data" count="0" hidden="1">
      <extLst>
        <ext xmlns:x15="http://schemas.microsoft.com/office/spreadsheetml/2010/11/main" uri="{B97F6D7D-B522-45F9-BDA1-12C45D357490}">
          <x15:cacheHierarchy aggregatedColumn="22"/>
        </ext>
      </extLst>
    </cacheHierarchy>
    <cacheHierarchy uniqueName="[Measures].[Sum of Other_Deductions]" caption="Sum of Other_Deductions" measure="1" displayFolder="" measureGroup="Emp_Data" count="0" hidden="1">
      <extLst>
        <ext xmlns:x15="http://schemas.microsoft.com/office/spreadsheetml/2010/11/main" uri="{B97F6D7D-B522-45F9-BDA1-12C45D357490}">
          <x15:cacheHierarchy aggregatedColumn="23"/>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SH JADHAV" refreshedDate="46283.27767476852" backgroundQuery="1" createdVersion="8" refreshedVersion="8" minRefreshableVersion="3" recordCount="0" supportSubquery="1" supportAdvancedDrill="1" xr:uid="{26E63ECC-E26F-44A6-86E1-C35DD9B2E018}">
  <cacheSource type="external" connectionId="6"/>
  <cacheFields count="3">
    <cacheField name="[Measures].[Sum of Present_Flag]" caption="Sum of Present_Flag" numFmtId="0" hierarchy="34" level="32767"/>
    <cacheField name="[Emp_Data].[Date].[Date]" caption="Date" numFmtId="0" level="1">
      <sharedItems containsSemiMixedTypes="0" containsNonDate="0" containsDate="1" containsString="0" minDate="2025-05-01T00:00:00" maxDate="2025-05-31T00:00:00" count="22">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6T00:00:00"/>
        <d v="2025-05-27T00:00:00"/>
        <d v="2025-05-28T00:00:00"/>
        <d v="2025-05-29T00:00:00"/>
        <d v="2025-05-30T00:00:00"/>
      </sharedItems>
    </cacheField>
    <cacheField name="[Emp_Data].[Department].[Department]" caption="Department" numFmtId="0" hierarchy="3" level="1">
      <sharedItems containsSemiMixedTypes="0" containsNonDate="0" containsString="0"/>
    </cacheField>
  </cacheFields>
  <cacheHierarchies count="48">
    <cacheHierarchy uniqueName="[Emp_Data].[Date]" caption="Date" attribute="1" time="1" defaultMemberUniqueName="[Emp_Data].[Date].[All]" allUniqueName="[Emp_Data].[Date].[All]" dimensionUniqueName="[Emp_Data]" displayFolder="" count="2" memberValueDatatype="7" unbalanced="0">
      <fieldsUsage count="2">
        <fieldUsage x="-1"/>
        <fieldUsage x="1"/>
      </fieldsUsage>
    </cacheHierarchy>
    <cacheHierarchy uniqueName="[Emp_Data].[Employee_ID]" caption="Employee_ID" attribute="1" defaultMemberUniqueName="[Emp_Data].[Employee_ID].[All]" allUniqueName="[Emp_Data].[Employee_ID].[All]" dimensionUniqueName="[Emp_Data]" displayFolder="" count="2" memberValueDatatype="130" unbalanced="0"/>
    <cacheHierarchy uniqueName="[Emp_Data].[Employee_Name]" caption="Employee_Name" attribute="1" defaultMemberUniqueName="[Emp_Data].[Employee_Name].[All]" allUniqueName="[Emp_Data].[Employee_Name].[All]" dimensionUniqueName="[Emp_Data]" displayFolder="" count="0" memberValueDatatype="130" unbalanced="0"/>
    <cacheHierarchy uniqueName="[Emp_Data].[Department]" caption="Department" attribute="1" defaultMemberUniqueName="[Emp_Data].[Department].[All]" allUniqueName="[Emp_Data].[Department].[All]" dimensionUniqueName="[Emp_Data]" displayFolder="" count="2" memberValueDatatype="130" unbalanced="0">
      <fieldsUsage count="2">
        <fieldUsage x="-1"/>
        <fieldUsage x="2"/>
      </fieldsUsage>
    </cacheHierarchy>
    <cacheHierarchy uniqueName="[Emp_Data].[Location]" caption="Location" attribute="1" defaultMemberUniqueName="[Emp_Data].[Location].[All]" allUniqueName="[Emp_Data].[Location].[All]" dimensionUniqueName="[Emp_Data]" displayFolder="" count="2" memberValueDatatype="130" unbalanced="0"/>
    <cacheHierarchy uniqueName="[Emp_Data].[Employee_Type]" caption="Employee_Type" attribute="1" defaultMemberUniqueName="[Emp_Data].[Employee_Type].[All]" allUniqueName="[Emp_Data].[Employee_Type].[All]" dimensionUniqueName="[Emp_Data]" displayFolder="" count="2" memberValueDatatype="130" unbalanced="0"/>
    <cacheHierarchy uniqueName="[Emp_Data].[Date_of_Joining]" caption="Date_of_Joining" attribute="1" time="1" defaultMemberUniqueName="[Emp_Data].[Date_of_Joining].[All]" allUniqueName="[Emp_Data].[Date_of_Joining].[All]" dimensionUniqueName="[Emp_Data]" displayFolder="" count="0" memberValueDatatype="7" unbalanced="0"/>
    <cacheHierarchy uniqueName="[Emp_Data].[Basic_Salary]" caption="Basic_Salary" attribute="1" defaultMemberUniqueName="[Emp_Data].[Basic_Salary].[All]" allUniqueName="[Emp_Data].[Basic_Salary].[All]" dimensionUniqueName="[Emp_Data]" displayFolder="" count="0" memberValueDatatype="20" unbalanced="0"/>
    <cacheHierarchy uniqueName="[Emp_Data].[Status]" caption="Status" attribute="1" defaultMemberUniqueName="[Emp_Data].[Status].[All]" allUniqueName="[Emp_Data].[Status].[All]" dimensionUniqueName="[Emp_Data]" displayFolder="" count="0" memberValueDatatype="130" unbalanced="0"/>
    <cacheHierarchy uniqueName="[Emp_Data].[Check_In]" caption="Check_In" attribute="1" defaultMemberUniqueName="[Emp_Data].[Check_In].[All]" allUniqueName="[Emp_Data].[Check_In].[All]" dimensionUniqueName="[Emp_Data]" displayFolder="" count="0" memberValueDatatype="130" unbalanced="0"/>
    <cacheHierarchy uniqueName="[Emp_Data].[Check_Out]" caption="Check_Out" attribute="1" defaultMemberUniqueName="[Emp_Data].[Check_Out].[All]" allUniqueName="[Emp_Data].[Check_Out].[All]" dimensionUniqueName="[Emp_Data]" displayFolder="" count="0" memberValueDatatype="130" unbalanced="0"/>
    <cacheHierarchy uniqueName="[Emp_Data].[Leave_Type]" caption="Leave_Type" attribute="1" defaultMemberUniqueName="[Emp_Data].[Leave_Type].[All]" allUniqueName="[Emp_Data].[Leave_Type].[All]" dimensionUniqueName="[Emp_Data]" displayFolder="" count="0" memberValueDatatype="130" unbalanced="0"/>
    <cacheHierarchy uniqueName="[Emp_Data].[Basic_Salary.1]" caption="Basic_Salary.1" attribute="1" defaultMemberUniqueName="[Emp_Data].[Basic_Salary.1].[All]" allUniqueName="[Emp_Data].[Basic_Salary.1].[All]" dimensionUniqueName="[Emp_Data]" displayFolder="" count="0" memberValueDatatype="20" unbalanced="0"/>
    <cacheHierarchy uniqueName="[Emp_Data].[HRA]" caption="HRA" attribute="1" defaultMemberUniqueName="[Emp_Data].[HRA].[All]" allUniqueName="[Emp_Data].[HRA].[All]" dimensionUniqueName="[Emp_Data]" displayFolder="" count="0" memberValueDatatype="20" unbalanced="0"/>
    <cacheHierarchy uniqueName="[Emp_Data].[Conveyance]" caption="Conveyance" attribute="1" defaultMemberUniqueName="[Emp_Data].[Conveyance].[All]" allUniqueName="[Emp_Data].[Conveyance].[All]" dimensionUniqueName="[Emp_Data]" displayFolder="" count="0" memberValueDatatype="20" unbalanced="0"/>
    <cacheHierarchy uniqueName="[Emp_Data].[Medical_Allowance]" caption="Medical_Allowance" attribute="1" defaultMemberUniqueName="[Emp_Data].[Medical_Allowance].[All]" allUniqueName="[Emp_Data].[Medical_Allowance].[All]" dimensionUniqueName="[Emp_Data]" displayFolder="" count="0" memberValueDatatype="20" unbalanced="0"/>
    <cacheHierarchy uniqueName="[Emp_Data].[Special_Allowance]" caption="Special_Allowance" attribute="1" defaultMemberUniqueName="[Emp_Data].[Special_Allowance].[All]" allUniqueName="[Emp_Data].[Special_Allowance].[All]" dimensionUniqueName="[Emp_Data]" displayFolder="" count="0" memberValueDatatype="20" unbalanced="0"/>
    <cacheHierarchy uniqueName="[Emp_Data].[OT_Hours]" caption="OT_Hours" attribute="1" defaultMemberUniqueName="[Emp_Data].[OT_Hours].[All]" allUniqueName="[Emp_Data].[OT_Hours].[All]" dimensionUniqueName="[Emp_Data]" displayFolder="" count="0" memberValueDatatype="20" unbalanced="0"/>
    <cacheHierarchy uniqueName="[Emp_Data].[OT_Amount]" caption="OT_Amount" attribute="1" defaultMemberUniqueName="[Emp_Data].[OT_Amount].[All]" allUniqueName="[Emp_Data].[OT_Amount].[All]" dimensionUniqueName="[Emp_Data]" displayFolder="" count="0" memberValueDatatype="20" unbalanced="0"/>
    <cacheHierarchy uniqueName="[Emp_Data].[Gross_Salary]" caption="Gross_Salary" attribute="1" defaultMemberUniqueName="[Emp_Data].[Gross_Salary].[All]" allUniqueName="[Emp_Data].[Gross_Salary].[All]" dimensionUniqueName="[Emp_Data]" displayFolder="" count="0" memberValueDatatype="20" unbalanced="0"/>
    <cacheHierarchy uniqueName="[Emp_Data].[PF]" caption="PF" attribute="1" defaultMemberUniqueName="[Emp_Data].[PF].[All]" allUniqueName="[Emp_Data].[PF].[All]" dimensionUniqueName="[Emp_Data]" displayFolder="" count="0" memberValueDatatype="20" unbalanced="0"/>
    <cacheHierarchy uniqueName="[Emp_Data].[ESI]" caption="ESI" attribute="1" defaultMemberUniqueName="[Emp_Data].[ESI].[All]" allUniqueName="[Emp_Data].[ESI].[All]" dimensionUniqueName="[Emp_Data]" displayFolder="" count="0" memberValueDatatype="20" unbalanced="0"/>
    <cacheHierarchy uniqueName="[Emp_Data].[TDS]" caption="TDS" attribute="1" defaultMemberUniqueName="[Emp_Data].[TDS].[All]" allUniqueName="[Emp_Data].[TDS].[All]" dimensionUniqueName="[Emp_Data]" displayFolder="" count="0" memberValueDatatype="20" unbalanced="0"/>
    <cacheHierarchy uniqueName="[Emp_Data].[Other_Deductions]" caption="Other_Deductions" attribute="1" defaultMemberUniqueName="[Emp_Data].[Other_Deductions].[All]" allUniqueName="[Emp_Data].[Other_Deductions].[All]" dimensionUniqueName="[Emp_Data]" displayFolder="" count="0" memberValueDatatype="20" unbalanced="0"/>
    <cacheHierarchy uniqueName="[Emp_Data].[Total_Deductions]" caption="Total_Deductions" attribute="1" defaultMemberUniqueName="[Emp_Data].[Total_Deductions].[All]" allUniqueName="[Emp_Data].[Total_Deductions].[All]" dimensionUniqueName="[Emp_Data]" displayFolder="" count="0" memberValueDatatype="20" unbalanced="0"/>
    <cacheHierarchy uniqueName="[Emp_Data].[Net_Salary]" caption="Net_Salary" attribute="1" defaultMemberUniqueName="[Emp_Data].[Net_Salary].[All]" allUniqueName="[Emp_Data].[Net_Salary].[All]" dimensionUniqueName="[Emp_Data]" displayFolder="" count="0" memberValueDatatype="20" unbalanced="0"/>
    <cacheHierarchy uniqueName="[Emp_Data].[Present_Flag]" caption="Present_Flag" attribute="1" defaultMemberUniqueName="[Emp_Data].[Present_Flag].[All]" allUniqueName="[Emp_Data].[Present_Flag].[All]" dimensionUniqueName="[Emp_Data]" displayFolder="" count="0" memberValueDatatype="20" unbalanced="0"/>
    <cacheHierarchy uniqueName="[Emp_Data].[Absent_Flag]" caption="Absent_Flag" attribute="1" defaultMemberUniqueName="[Emp_Data].[Absent_Flag].[All]" allUniqueName="[Emp_Data].[Absent_Flag].[All]" dimensionUniqueName="[Emp_Data]" displayFolder="" count="0" memberValueDatatype="20" unbalanced="0"/>
    <cacheHierarchy uniqueName="[Emp_Data].[Late_Flag]" caption="Late_Flag" attribute="1" defaultMemberUniqueName="[Emp_Data].[Late_Flag].[All]" allUniqueName="[Emp_Data].[Late_Flag].[All]" dimensionUniqueName="[Emp_Data]" displayFolder="" count="0" memberValueDatatype="20" unbalanced="0"/>
    <cacheHierarchy uniqueName="[Emp_Data].[Leave_Flag]" caption="Leave_Flag" attribute="1" defaultMemberUniqueName="[Emp_Data].[Leave_Flag].[All]" allUniqueName="[Emp_Data].[Leave_Flag].[All]" dimensionUniqueName="[Emp_Data]" displayFolder="" count="0" memberValueDatatype="20" unbalanced="0"/>
    <cacheHierarchy uniqueName="[Measures].[__XL_Count Emp_Data]" caption="__XL_Count Emp_Data" measure="1" displayFolder="" measureGroup="Emp_Data" count="0" hidden="1"/>
    <cacheHierarchy uniqueName="[Measures].[__No measures defined]" caption="__No measures defined" measure="1" displayFolder="" count="0" hidden="1"/>
    <cacheHierarchy uniqueName="[Measures].[Count of Employee_ID]" caption="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Distinct Count of Employee_ID]" caption="Distinct 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Sum of Present_Flag]" caption="Sum of Present_Flag" measure="1" displayFolder="" measureGroup="Emp_Data" count="0" oneField="1" hidden="1">
      <fieldsUsage count="1">
        <fieldUsage x="0"/>
      </fieldsUsage>
      <extLst>
        <ext xmlns:x15="http://schemas.microsoft.com/office/spreadsheetml/2010/11/main" uri="{B97F6D7D-B522-45F9-BDA1-12C45D357490}">
          <x15:cacheHierarchy aggregatedColumn="26"/>
        </ext>
      </extLst>
    </cacheHierarchy>
    <cacheHierarchy uniqueName="[Measures].[Distinct Count of Present_Flag]" caption="Distinct Count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Sum of Absent_Flag]" caption="Sum of Absent_Flag" measure="1" displayFolder="" measureGroup="Emp_Data" count="0" hidden="1">
      <extLst>
        <ext xmlns:x15="http://schemas.microsoft.com/office/spreadsheetml/2010/11/main" uri="{B97F6D7D-B522-45F9-BDA1-12C45D357490}">
          <x15:cacheHierarchy aggregatedColumn="27"/>
        </ext>
      </extLst>
    </cacheHierarchy>
    <cacheHierarchy uniqueName="[Measures].[Sum of Leave_Flag]" caption="Sum of Leave_Flag" measure="1" displayFolder="" measureGroup="Emp_Data" count="0" hidden="1">
      <extLst>
        <ext xmlns:x15="http://schemas.microsoft.com/office/spreadsheetml/2010/11/main" uri="{B97F6D7D-B522-45F9-BDA1-12C45D357490}">
          <x15:cacheHierarchy aggregatedColumn="29"/>
        </ext>
      </extLst>
    </cacheHierarchy>
    <cacheHierarchy uniqueName="[Measures].[Sum of Late_Flag]" caption="Sum of Late_Flag" measure="1" displayFolder="" measureGroup="Emp_Data" count="0" hidden="1">
      <extLst>
        <ext xmlns:x15="http://schemas.microsoft.com/office/spreadsheetml/2010/11/main" uri="{B97F6D7D-B522-45F9-BDA1-12C45D357490}">
          <x15:cacheHierarchy aggregatedColumn="28"/>
        </ext>
      </extLst>
    </cacheHierarchy>
    <cacheHierarchy uniqueName="[Measures].[Sum of Gross_Salary]" caption="Sum of Gross_Salary" measure="1" displayFolder="" measureGroup="Emp_Data" count="0" hidden="1">
      <extLst>
        <ext xmlns:x15="http://schemas.microsoft.com/office/spreadsheetml/2010/11/main" uri="{B97F6D7D-B522-45F9-BDA1-12C45D357490}">
          <x15:cacheHierarchy aggregatedColumn="19"/>
        </ext>
      </extLst>
    </cacheHierarchy>
    <cacheHierarchy uniqueName="[Measures].[Sum of Net_Salary]" caption="Sum of Net_Salary" measure="1" displayFolder="" measureGroup="Emp_Data" count="0" hidden="1">
      <extLst>
        <ext xmlns:x15="http://schemas.microsoft.com/office/spreadsheetml/2010/11/main" uri="{B97F6D7D-B522-45F9-BDA1-12C45D357490}">
          <x15:cacheHierarchy aggregatedColumn="25"/>
        </ext>
      </extLst>
    </cacheHierarchy>
    <cacheHierarchy uniqueName="[Measures].[Sum of OT_Hours]" caption="Sum of OT_Hours" measure="1" displayFolder="" measureGroup="Emp_Data" count="0" hidden="1">
      <extLst>
        <ext xmlns:x15="http://schemas.microsoft.com/office/spreadsheetml/2010/11/main" uri="{B97F6D7D-B522-45F9-BDA1-12C45D357490}">
          <x15:cacheHierarchy aggregatedColumn="17"/>
        </ext>
      </extLst>
    </cacheHierarchy>
    <cacheHierarchy uniqueName="[Measures].[Sum of OT_Amount]" caption="Sum of OT_Amount" measure="1" displayFolder="" measureGroup="Emp_Data" count="0" hidden="1">
      <extLst>
        <ext xmlns:x15="http://schemas.microsoft.com/office/spreadsheetml/2010/11/main" uri="{B97F6D7D-B522-45F9-BDA1-12C45D357490}">
          <x15:cacheHierarchy aggregatedColumn="18"/>
        </ext>
      </extLst>
    </cacheHierarchy>
    <cacheHierarchy uniqueName="[Measures].[Count of Leave_Type]" caption="Count of Leave_Type" measure="1" displayFolder="" measureGroup="Emp_Data" count="0" hidden="1">
      <extLst>
        <ext xmlns:x15="http://schemas.microsoft.com/office/spreadsheetml/2010/11/main" uri="{B97F6D7D-B522-45F9-BDA1-12C45D357490}">
          <x15:cacheHierarchy aggregatedColumn="11"/>
        </ext>
      </extLst>
    </cacheHierarchy>
    <cacheHierarchy uniqueName="[Measures].[Sum of PF]" caption="Sum of PF" measure="1" displayFolder="" measureGroup="Emp_Data" count="0" hidden="1">
      <extLst>
        <ext xmlns:x15="http://schemas.microsoft.com/office/spreadsheetml/2010/11/main" uri="{B97F6D7D-B522-45F9-BDA1-12C45D357490}">
          <x15:cacheHierarchy aggregatedColumn="20"/>
        </ext>
      </extLst>
    </cacheHierarchy>
    <cacheHierarchy uniqueName="[Measures].[Sum of ESI]" caption="Sum of ESI" measure="1" displayFolder="" measureGroup="Emp_Data" count="0" hidden="1">
      <extLst>
        <ext xmlns:x15="http://schemas.microsoft.com/office/spreadsheetml/2010/11/main" uri="{B97F6D7D-B522-45F9-BDA1-12C45D357490}">
          <x15:cacheHierarchy aggregatedColumn="21"/>
        </ext>
      </extLst>
    </cacheHierarchy>
    <cacheHierarchy uniqueName="[Measures].[Sum of TDS]" caption="Sum of TDS" measure="1" displayFolder="" measureGroup="Emp_Data" count="0" hidden="1">
      <extLst>
        <ext xmlns:x15="http://schemas.microsoft.com/office/spreadsheetml/2010/11/main" uri="{B97F6D7D-B522-45F9-BDA1-12C45D357490}">
          <x15:cacheHierarchy aggregatedColumn="22"/>
        </ext>
      </extLst>
    </cacheHierarchy>
    <cacheHierarchy uniqueName="[Measures].[Sum of Other_Deductions]" caption="Sum of Other_Deductions" measure="1" displayFolder="" measureGroup="Emp_Data" count="0" hidden="1">
      <extLst>
        <ext xmlns:x15="http://schemas.microsoft.com/office/spreadsheetml/2010/11/main" uri="{B97F6D7D-B522-45F9-BDA1-12C45D357490}">
          <x15:cacheHierarchy aggregatedColumn="23"/>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SH JADHAV" refreshedDate="46283.277675925929" backgroundQuery="1" createdVersion="8" refreshedVersion="8" minRefreshableVersion="3" recordCount="0" supportSubquery="1" supportAdvancedDrill="1" xr:uid="{4A324FCB-836D-4C5B-85A8-33A002D3DDC0}">
  <cacheSource type="external" connectionId="6"/>
  <cacheFields count="6">
    <cacheField name="[Measures].[Sum of Present_Flag]" caption="Sum of Present_Flag" numFmtId="0" hierarchy="34" level="32767"/>
    <cacheField name="[Emp_Data].[Location].[Location]" caption="Location" numFmtId="0" hierarchy="4" level="1">
      <sharedItems count="4">
        <s v="Mumbai"/>
        <s v="Navi Mumbai"/>
        <s v="Pune"/>
        <s v="Thane"/>
      </sharedItems>
    </cacheField>
    <cacheField name="[Measures].[Sum of Absent_Flag]" caption="Sum of Absent_Flag" numFmtId="0" hierarchy="36" level="32767"/>
    <cacheField name="[Measures].[Sum of Late_Flag]" caption="Sum of Late_Flag" numFmtId="0" hierarchy="38" level="32767"/>
    <cacheField name="[Measures].[Sum of Leave_Flag]" caption="Sum of Leave_Flag" numFmtId="0" hierarchy="37" level="32767"/>
    <cacheField name="[Emp_Data].[Department].[Department]" caption="Department" numFmtId="0" hierarchy="3" level="1">
      <sharedItems containsSemiMixedTypes="0" containsNonDate="0" containsString="0"/>
    </cacheField>
  </cacheFields>
  <cacheHierarchies count="48">
    <cacheHierarchy uniqueName="[Emp_Data].[Date]" caption="Date" attribute="1" time="1" defaultMemberUniqueName="[Emp_Data].[Date].[All]" allUniqueName="[Emp_Data].[Date].[All]" dimensionUniqueName="[Emp_Data]" displayFolder="" count="0" memberValueDatatype="7" unbalanced="0"/>
    <cacheHierarchy uniqueName="[Emp_Data].[Employee_ID]" caption="Employee_ID" attribute="1" defaultMemberUniqueName="[Emp_Data].[Employee_ID].[All]" allUniqueName="[Emp_Data].[Employee_ID].[All]" dimensionUniqueName="[Emp_Data]" displayFolder="" count="2" memberValueDatatype="130" unbalanced="0"/>
    <cacheHierarchy uniqueName="[Emp_Data].[Employee_Name]" caption="Employee_Name" attribute="1" defaultMemberUniqueName="[Emp_Data].[Employee_Name].[All]" allUniqueName="[Emp_Data].[Employee_Name].[All]" dimensionUniqueName="[Emp_Data]" displayFolder="" count="0" memberValueDatatype="130" unbalanced="0"/>
    <cacheHierarchy uniqueName="[Emp_Data].[Department]" caption="Department" attribute="1" defaultMemberUniqueName="[Emp_Data].[Department].[All]" allUniqueName="[Emp_Data].[Department].[All]" dimensionUniqueName="[Emp_Data]" displayFolder="" count="2" memberValueDatatype="130" unbalanced="0">
      <fieldsUsage count="2">
        <fieldUsage x="-1"/>
        <fieldUsage x="5"/>
      </fieldsUsage>
    </cacheHierarchy>
    <cacheHierarchy uniqueName="[Emp_Data].[Location]" caption="Location" attribute="1" defaultMemberUniqueName="[Emp_Data].[Location].[All]" allUniqueName="[Emp_Data].[Location].[All]" dimensionUniqueName="[Emp_Data]" displayFolder="" count="2" memberValueDatatype="130" unbalanced="0">
      <fieldsUsage count="2">
        <fieldUsage x="-1"/>
        <fieldUsage x="1"/>
      </fieldsUsage>
    </cacheHierarchy>
    <cacheHierarchy uniqueName="[Emp_Data].[Employee_Type]" caption="Employee_Type" attribute="1" defaultMemberUniqueName="[Emp_Data].[Employee_Type].[All]" allUniqueName="[Emp_Data].[Employee_Type].[All]" dimensionUniqueName="[Emp_Data]" displayFolder="" count="2" memberValueDatatype="130" unbalanced="0"/>
    <cacheHierarchy uniqueName="[Emp_Data].[Date_of_Joining]" caption="Date_of_Joining" attribute="1" time="1" defaultMemberUniqueName="[Emp_Data].[Date_of_Joining].[All]" allUniqueName="[Emp_Data].[Date_of_Joining].[All]" dimensionUniqueName="[Emp_Data]" displayFolder="" count="0" memberValueDatatype="7" unbalanced="0"/>
    <cacheHierarchy uniqueName="[Emp_Data].[Basic_Salary]" caption="Basic_Salary" attribute="1" defaultMemberUniqueName="[Emp_Data].[Basic_Salary].[All]" allUniqueName="[Emp_Data].[Basic_Salary].[All]" dimensionUniqueName="[Emp_Data]" displayFolder="" count="0" memberValueDatatype="20" unbalanced="0"/>
    <cacheHierarchy uniqueName="[Emp_Data].[Status]" caption="Status" attribute="1" defaultMemberUniqueName="[Emp_Data].[Status].[All]" allUniqueName="[Emp_Data].[Status].[All]" dimensionUniqueName="[Emp_Data]" displayFolder="" count="0" memberValueDatatype="130" unbalanced="0"/>
    <cacheHierarchy uniqueName="[Emp_Data].[Check_In]" caption="Check_In" attribute="1" defaultMemberUniqueName="[Emp_Data].[Check_In].[All]" allUniqueName="[Emp_Data].[Check_In].[All]" dimensionUniqueName="[Emp_Data]" displayFolder="" count="0" memberValueDatatype="130" unbalanced="0"/>
    <cacheHierarchy uniqueName="[Emp_Data].[Check_Out]" caption="Check_Out" attribute="1" defaultMemberUniqueName="[Emp_Data].[Check_Out].[All]" allUniqueName="[Emp_Data].[Check_Out].[All]" dimensionUniqueName="[Emp_Data]" displayFolder="" count="0" memberValueDatatype="130" unbalanced="0"/>
    <cacheHierarchy uniqueName="[Emp_Data].[Leave_Type]" caption="Leave_Type" attribute="1" defaultMemberUniqueName="[Emp_Data].[Leave_Type].[All]" allUniqueName="[Emp_Data].[Leave_Type].[All]" dimensionUniqueName="[Emp_Data]" displayFolder="" count="0" memberValueDatatype="130" unbalanced="0"/>
    <cacheHierarchy uniqueName="[Emp_Data].[Basic_Salary.1]" caption="Basic_Salary.1" attribute="1" defaultMemberUniqueName="[Emp_Data].[Basic_Salary.1].[All]" allUniqueName="[Emp_Data].[Basic_Salary.1].[All]" dimensionUniqueName="[Emp_Data]" displayFolder="" count="0" memberValueDatatype="20" unbalanced="0"/>
    <cacheHierarchy uniqueName="[Emp_Data].[HRA]" caption="HRA" attribute="1" defaultMemberUniqueName="[Emp_Data].[HRA].[All]" allUniqueName="[Emp_Data].[HRA].[All]" dimensionUniqueName="[Emp_Data]" displayFolder="" count="0" memberValueDatatype="20" unbalanced="0"/>
    <cacheHierarchy uniqueName="[Emp_Data].[Conveyance]" caption="Conveyance" attribute="1" defaultMemberUniqueName="[Emp_Data].[Conveyance].[All]" allUniqueName="[Emp_Data].[Conveyance].[All]" dimensionUniqueName="[Emp_Data]" displayFolder="" count="0" memberValueDatatype="20" unbalanced="0"/>
    <cacheHierarchy uniqueName="[Emp_Data].[Medical_Allowance]" caption="Medical_Allowance" attribute="1" defaultMemberUniqueName="[Emp_Data].[Medical_Allowance].[All]" allUniqueName="[Emp_Data].[Medical_Allowance].[All]" dimensionUniqueName="[Emp_Data]" displayFolder="" count="0" memberValueDatatype="20" unbalanced="0"/>
    <cacheHierarchy uniqueName="[Emp_Data].[Special_Allowance]" caption="Special_Allowance" attribute="1" defaultMemberUniqueName="[Emp_Data].[Special_Allowance].[All]" allUniqueName="[Emp_Data].[Special_Allowance].[All]" dimensionUniqueName="[Emp_Data]" displayFolder="" count="0" memberValueDatatype="20" unbalanced="0"/>
    <cacheHierarchy uniqueName="[Emp_Data].[OT_Hours]" caption="OT_Hours" attribute="1" defaultMemberUniqueName="[Emp_Data].[OT_Hours].[All]" allUniqueName="[Emp_Data].[OT_Hours].[All]" dimensionUniqueName="[Emp_Data]" displayFolder="" count="0" memberValueDatatype="20" unbalanced="0"/>
    <cacheHierarchy uniqueName="[Emp_Data].[OT_Amount]" caption="OT_Amount" attribute="1" defaultMemberUniqueName="[Emp_Data].[OT_Amount].[All]" allUniqueName="[Emp_Data].[OT_Amount].[All]" dimensionUniqueName="[Emp_Data]" displayFolder="" count="0" memberValueDatatype="20" unbalanced="0"/>
    <cacheHierarchy uniqueName="[Emp_Data].[Gross_Salary]" caption="Gross_Salary" attribute="1" defaultMemberUniqueName="[Emp_Data].[Gross_Salary].[All]" allUniqueName="[Emp_Data].[Gross_Salary].[All]" dimensionUniqueName="[Emp_Data]" displayFolder="" count="0" memberValueDatatype="20" unbalanced="0"/>
    <cacheHierarchy uniqueName="[Emp_Data].[PF]" caption="PF" attribute="1" defaultMemberUniqueName="[Emp_Data].[PF].[All]" allUniqueName="[Emp_Data].[PF].[All]" dimensionUniqueName="[Emp_Data]" displayFolder="" count="0" memberValueDatatype="20" unbalanced="0"/>
    <cacheHierarchy uniqueName="[Emp_Data].[ESI]" caption="ESI" attribute="1" defaultMemberUniqueName="[Emp_Data].[ESI].[All]" allUniqueName="[Emp_Data].[ESI].[All]" dimensionUniqueName="[Emp_Data]" displayFolder="" count="0" memberValueDatatype="20" unbalanced="0"/>
    <cacheHierarchy uniqueName="[Emp_Data].[TDS]" caption="TDS" attribute="1" defaultMemberUniqueName="[Emp_Data].[TDS].[All]" allUniqueName="[Emp_Data].[TDS].[All]" dimensionUniqueName="[Emp_Data]" displayFolder="" count="0" memberValueDatatype="20" unbalanced="0"/>
    <cacheHierarchy uniqueName="[Emp_Data].[Other_Deductions]" caption="Other_Deductions" attribute="1" defaultMemberUniqueName="[Emp_Data].[Other_Deductions].[All]" allUniqueName="[Emp_Data].[Other_Deductions].[All]" dimensionUniqueName="[Emp_Data]" displayFolder="" count="0" memberValueDatatype="20" unbalanced="0"/>
    <cacheHierarchy uniqueName="[Emp_Data].[Total_Deductions]" caption="Total_Deductions" attribute="1" defaultMemberUniqueName="[Emp_Data].[Total_Deductions].[All]" allUniqueName="[Emp_Data].[Total_Deductions].[All]" dimensionUniqueName="[Emp_Data]" displayFolder="" count="0" memberValueDatatype="20" unbalanced="0"/>
    <cacheHierarchy uniqueName="[Emp_Data].[Net_Salary]" caption="Net_Salary" attribute="1" defaultMemberUniqueName="[Emp_Data].[Net_Salary].[All]" allUniqueName="[Emp_Data].[Net_Salary].[All]" dimensionUniqueName="[Emp_Data]" displayFolder="" count="0" memberValueDatatype="20" unbalanced="0"/>
    <cacheHierarchy uniqueName="[Emp_Data].[Present_Flag]" caption="Present_Flag" attribute="1" defaultMemberUniqueName="[Emp_Data].[Present_Flag].[All]" allUniqueName="[Emp_Data].[Present_Flag].[All]" dimensionUniqueName="[Emp_Data]" displayFolder="" count="0" memberValueDatatype="20" unbalanced="0"/>
    <cacheHierarchy uniqueName="[Emp_Data].[Absent_Flag]" caption="Absent_Flag" attribute="1" defaultMemberUniqueName="[Emp_Data].[Absent_Flag].[All]" allUniqueName="[Emp_Data].[Absent_Flag].[All]" dimensionUniqueName="[Emp_Data]" displayFolder="" count="0" memberValueDatatype="20" unbalanced="0"/>
    <cacheHierarchy uniqueName="[Emp_Data].[Late_Flag]" caption="Late_Flag" attribute="1" defaultMemberUniqueName="[Emp_Data].[Late_Flag].[All]" allUniqueName="[Emp_Data].[Late_Flag].[All]" dimensionUniqueName="[Emp_Data]" displayFolder="" count="0" memberValueDatatype="20" unbalanced="0"/>
    <cacheHierarchy uniqueName="[Emp_Data].[Leave_Flag]" caption="Leave_Flag" attribute="1" defaultMemberUniqueName="[Emp_Data].[Leave_Flag].[All]" allUniqueName="[Emp_Data].[Leave_Flag].[All]" dimensionUniqueName="[Emp_Data]" displayFolder="" count="0" memberValueDatatype="20" unbalanced="0"/>
    <cacheHierarchy uniqueName="[Measures].[__XL_Count Emp_Data]" caption="__XL_Count Emp_Data" measure="1" displayFolder="" measureGroup="Emp_Data" count="0" hidden="1"/>
    <cacheHierarchy uniqueName="[Measures].[__No measures defined]" caption="__No measures defined" measure="1" displayFolder="" count="0" hidden="1"/>
    <cacheHierarchy uniqueName="[Measures].[Count of Employee_ID]" caption="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Distinct Count of Employee_ID]" caption="Distinct 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Sum of Present_Flag]" caption="Sum of Present_Flag" measure="1" displayFolder="" measureGroup="Emp_Data" count="0" oneField="1" hidden="1">
      <fieldsUsage count="1">
        <fieldUsage x="0"/>
      </fieldsUsage>
      <extLst>
        <ext xmlns:x15="http://schemas.microsoft.com/office/spreadsheetml/2010/11/main" uri="{B97F6D7D-B522-45F9-BDA1-12C45D357490}">
          <x15:cacheHierarchy aggregatedColumn="26"/>
        </ext>
      </extLst>
    </cacheHierarchy>
    <cacheHierarchy uniqueName="[Measures].[Distinct Count of Present_Flag]" caption="Distinct Count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Sum of Absent_Flag]" caption="Sum of Absent_Flag" measure="1" displayFolder="" measureGroup="Emp_Data"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Leave_Flag]" caption="Sum of Leave_Flag" measure="1" displayFolder="" measureGroup="Emp_Data" count="0" oneField="1" hidden="1">
      <fieldsUsage count="1">
        <fieldUsage x="4"/>
      </fieldsUsage>
      <extLst>
        <ext xmlns:x15="http://schemas.microsoft.com/office/spreadsheetml/2010/11/main" uri="{B97F6D7D-B522-45F9-BDA1-12C45D357490}">
          <x15:cacheHierarchy aggregatedColumn="29"/>
        </ext>
      </extLst>
    </cacheHierarchy>
    <cacheHierarchy uniqueName="[Measures].[Sum of Late_Flag]" caption="Sum of Late_Flag" measure="1" displayFolder="" measureGroup="Emp_Data"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Gross_Salary]" caption="Sum of Gross_Salary" measure="1" displayFolder="" measureGroup="Emp_Data" count="0" hidden="1">
      <extLst>
        <ext xmlns:x15="http://schemas.microsoft.com/office/spreadsheetml/2010/11/main" uri="{B97F6D7D-B522-45F9-BDA1-12C45D357490}">
          <x15:cacheHierarchy aggregatedColumn="19"/>
        </ext>
      </extLst>
    </cacheHierarchy>
    <cacheHierarchy uniqueName="[Measures].[Sum of Net_Salary]" caption="Sum of Net_Salary" measure="1" displayFolder="" measureGroup="Emp_Data" count="0" hidden="1">
      <extLst>
        <ext xmlns:x15="http://schemas.microsoft.com/office/spreadsheetml/2010/11/main" uri="{B97F6D7D-B522-45F9-BDA1-12C45D357490}">
          <x15:cacheHierarchy aggregatedColumn="25"/>
        </ext>
      </extLst>
    </cacheHierarchy>
    <cacheHierarchy uniqueName="[Measures].[Sum of OT_Hours]" caption="Sum of OT_Hours" measure="1" displayFolder="" measureGroup="Emp_Data" count="0" hidden="1">
      <extLst>
        <ext xmlns:x15="http://schemas.microsoft.com/office/spreadsheetml/2010/11/main" uri="{B97F6D7D-B522-45F9-BDA1-12C45D357490}">
          <x15:cacheHierarchy aggregatedColumn="17"/>
        </ext>
      </extLst>
    </cacheHierarchy>
    <cacheHierarchy uniqueName="[Measures].[Sum of OT_Amount]" caption="Sum of OT_Amount" measure="1" displayFolder="" measureGroup="Emp_Data" count="0" hidden="1">
      <extLst>
        <ext xmlns:x15="http://schemas.microsoft.com/office/spreadsheetml/2010/11/main" uri="{B97F6D7D-B522-45F9-BDA1-12C45D357490}">
          <x15:cacheHierarchy aggregatedColumn="18"/>
        </ext>
      </extLst>
    </cacheHierarchy>
    <cacheHierarchy uniqueName="[Measures].[Count of Leave_Type]" caption="Count of Leave_Type" measure="1" displayFolder="" measureGroup="Emp_Data" count="0" hidden="1">
      <extLst>
        <ext xmlns:x15="http://schemas.microsoft.com/office/spreadsheetml/2010/11/main" uri="{B97F6D7D-B522-45F9-BDA1-12C45D357490}">
          <x15:cacheHierarchy aggregatedColumn="11"/>
        </ext>
      </extLst>
    </cacheHierarchy>
    <cacheHierarchy uniqueName="[Measures].[Sum of PF]" caption="Sum of PF" measure="1" displayFolder="" measureGroup="Emp_Data" count="0" hidden="1">
      <extLst>
        <ext xmlns:x15="http://schemas.microsoft.com/office/spreadsheetml/2010/11/main" uri="{B97F6D7D-B522-45F9-BDA1-12C45D357490}">
          <x15:cacheHierarchy aggregatedColumn="20"/>
        </ext>
      </extLst>
    </cacheHierarchy>
    <cacheHierarchy uniqueName="[Measures].[Sum of ESI]" caption="Sum of ESI" measure="1" displayFolder="" measureGroup="Emp_Data" count="0" hidden="1">
      <extLst>
        <ext xmlns:x15="http://schemas.microsoft.com/office/spreadsheetml/2010/11/main" uri="{B97F6D7D-B522-45F9-BDA1-12C45D357490}">
          <x15:cacheHierarchy aggregatedColumn="21"/>
        </ext>
      </extLst>
    </cacheHierarchy>
    <cacheHierarchy uniqueName="[Measures].[Sum of TDS]" caption="Sum of TDS" measure="1" displayFolder="" measureGroup="Emp_Data" count="0" hidden="1">
      <extLst>
        <ext xmlns:x15="http://schemas.microsoft.com/office/spreadsheetml/2010/11/main" uri="{B97F6D7D-B522-45F9-BDA1-12C45D357490}">
          <x15:cacheHierarchy aggregatedColumn="22"/>
        </ext>
      </extLst>
    </cacheHierarchy>
    <cacheHierarchy uniqueName="[Measures].[Sum of Other_Deductions]" caption="Sum of Other_Deductions" measure="1" displayFolder="" measureGroup="Emp_Data" count="0" hidden="1">
      <extLst>
        <ext xmlns:x15="http://schemas.microsoft.com/office/spreadsheetml/2010/11/main" uri="{B97F6D7D-B522-45F9-BDA1-12C45D357490}">
          <x15:cacheHierarchy aggregatedColumn="23"/>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SH JADHAV" refreshedDate="46283.277676967591" backgroundQuery="1" createdVersion="8" refreshedVersion="8" minRefreshableVersion="3" recordCount="0" supportSubquery="1" supportAdvancedDrill="1" xr:uid="{98D8D226-E3C5-46E2-B9B7-172FBBD5BA2E}">
  <cacheSource type="external" connectionId="6"/>
  <cacheFields count="3">
    <cacheField name="[Emp_Data].[Employee_Type].[Employee_Type]" caption="Employee_Type" numFmtId="0" hierarchy="5" level="1">
      <sharedItems count="2">
        <s v="Contract"/>
        <s v="Full Time"/>
      </sharedItems>
    </cacheField>
    <cacheField name="[Measures].[Distinct Count of Employee_ID]" caption="Distinct Count of Employee_ID" numFmtId="0" hierarchy="33" level="32767"/>
    <cacheField name="[Emp_Data].[Department].[Department]" caption="Department" numFmtId="0" hierarchy="3" level="1">
      <sharedItems containsSemiMixedTypes="0" containsNonDate="0" containsString="0"/>
    </cacheField>
  </cacheFields>
  <cacheHierarchies count="48">
    <cacheHierarchy uniqueName="[Emp_Data].[Date]" caption="Date" attribute="1" time="1" defaultMemberUniqueName="[Emp_Data].[Date].[All]" allUniqueName="[Emp_Data].[Date].[All]" dimensionUniqueName="[Emp_Data]" displayFolder="" count="0" memberValueDatatype="7" unbalanced="0"/>
    <cacheHierarchy uniqueName="[Emp_Data].[Employee_ID]" caption="Employee_ID" attribute="1" defaultMemberUniqueName="[Emp_Data].[Employee_ID].[All]" allUniqueName="[Emp_Data].[Employee_ID].[All]" dimensionUniqueName="[Emp_Data]" displayFolder="" count="2" memberValueDatatype="130" unbalanced="0"/>
    <cacheHierarchy uniqueName="[Emp_Data].[Employee_Name]" caption="Employee_Name" attribute="1" defaultMemberUniqueName="[Emp_Data].[Employee_Name].[All]" allUniqueName="[Emp_Data].[Employee_Name].[All]" dimensionUniqueName="[Emp_Data]" displayFolder="" count="0" memberValueDatatype="130" unbalanced="0"/>
    <cacheHierarchy uniqueName="[Emp_Data].[Department]" caption="Department" attribute="1" defaultMemberUniqueName="[Emp_Data].[Department].[All]" allUniqueName="[Emp_Data].[Department].[All]" dimensionUniqueName="[Emp_Data]" displayFolder="" count="2" memberValueDatatype="130" unbalanced="0">
      <fieldsUsage count="2">
        <fieldUsage x="-1"/>
        <fieldUsage x="2"/>
      </fieldsUsage>
    </cacheHierarchy>
    <cacheHierarchy uniqueName="[Emp_Data].[Location]" caption="Location" attribute="1" defaultMemberUniqueName="[Emp_Data].[Location].[All]" allUniqueName="[Emp_Data].[Location].[All]" dimensionUniqueName="[Emp_Data]" displayFolder="" count="2" memberValueDatatype="130" unbalanced="0"/>
    <cacheHierarchy uniqueName="[Emp_Data].[Employee_Type]" caption="Employee_Type" attribute="1" defaultMemberUniqueName="[Emp_Data].[Employee_Type].[All]" allUniqueName="[Emp_Data].[Employee_Type].[All]" dimensionUniqueName="[Emp_Data]" displayFolder="" count="2" memberValueDatatype="130" unbalanced="0">
      <fieldsUsage count="2">
        <fieldUsage x="-1"/>
        <fieldUsage x="0"/>
      </fieldsUsage>
    </cacheHierarchy>
    <cacheHierarchy uniqueName="[Emp_Data].[Date_of_Joining]" caption="Date_of_Joining" attribute="1" time="1" defaultMemberUniqueName="[Emp_Data].[Date_of_Joining].[All]" allUniqueName="[Emp_Data].[Date_of_Joining].[All]" dimensionUniqueName="[Emp_Data]" displayFolder="" count="0" memberValueDatatype="7" unbalanced="0"/>
    <cacheHierarchy uniqueName="[Emp_Data].[Basic_Salary]" caption="Basic_Salary" attribute="1" defaultMemberUniqueName="[Emp_Data].[Basic_Salary].[All]" allUniqueName="[Emp_Data].[Basic_Salary].[All]" dimensionUniqueName="[Emp_Data]" displayFolder="" count="0" memberValueDatatype="20" unbalanced="0"/>
    <cacheHierarchy uniqueName="[Emp_Data].[Status]" caption="Status" attribute="1" defaultMemberUniqueName="[Emp_Data].[Status].[All]" allUniqueName="[Emp_Data].[Status].[All]" dimensionUniqueName="[Emp_Data]" displayFolder="" count="0" memberValueDatatype="130" unbalanced="0"/>
    <cacheHierarchy uniqueName="[Emp_Data].[Check_In]" caption="Check_In" attribute="1" defaultMemberUniqueName="[Emp_Data].[Check_In].[All]" allUniqueName="[Emp_Data].[Check_In].[All]" dimensionUniqueName="[Emp_Data]" displayFolder="" count="0" memberValueDatatype="130" unbalanced="0"/>
    <cacheHierarchy uniqueName="[Emp_Data].[Check_Out]" caption="Check_Out" attribute="1" defaultMemberUniqueName="[Emp_Data].[Check_Out].[All]" allUniqueName="[Emp_Data].[Check_Out].[All]" dimensionUniqueName="[Emp_Data]" displayFolder="" count="0" memberValueDatatype="130" unbalanced="0"/>
    <cacheHierarchy uniqueName="[Emp_Data].[Leave_Type]" caption="Leave_Type" attribute="1" defaultMemberUniqueName="[Emp_Data].[Leave_Type].[All]" allUniqueName="[Emp_Data].[Leave_Type].[All]" dimensionUniqueName="[Emp_Data]" displayFolder="" count="0" memberValueDatatype="130" unbalanced="0"/>
    <cacheHierarchy uniqueName="[Emp_Data].[Basic_Salary.1]" caption="Basic_Salary.1" attribute="1" defaultMemberUniqueName="[Emp_Data].[Basic_Salary.1].[All]" allUniqueName="[Emp_Data].[Basic_Salary.1].[All]" dimensionUniqueName="[Emp_Data]" displayFolder="" count="0" memberValueDatatype="20" unbalanced="0"/>
    <cacheHierarchy uniqueName="[Emp_Data].[HRA]" caption="HRA" attribute="1" defaultMemberUniqueName="[Emp_Data].[HRA].[All]" allUniqueName="[Emp_Data].[HRA].[All]" dimensionUniqueName="[Emp_Data]" displayFolder="" count="0" memberValueDatatype="20" unbalanced="0"/>
    <cacheHierarchy uniqueName="[Emp_Data].[Conveyance]" caption="Conveyance" attribute="1" defaultMemberUniqueName="[Emp_Data].[Conveyance].[All]" allUniqueName="[Emp_Data].[Conveyance].[All]" dimensionUniqueName="[Emp_Data]" displayFolder="" count="0" memberValueDatatype="20" unbalanced="0"/>
    <cacheHierarchy uniqueName="[Emp_Data].[Medical_Allowance]" caption="Medical_Allowance" attribute="1" defaultMemberUniqueName="[Emp_Data].[Medical_Allowance].[All]" allUniqueName="[Emp_Data].[Medical_Allowance].[All]" dimensionUniqueName="[Emp_Data]" displayFolder="" count="0" memberValueDatatype="20" unbalanced="0"/>
    <cacheHierarchy uniqueName="[Emp_Data].[Special_Allowance]" caption="Special_Allowance" attribute="1" defaultMemberUniqueName="[Emp_Data].[Special_Allowance].[All]" allUniqueName="[Emp_Data].[Special_Allowance].[All]" dimensionUniqueName="[Emp_Data]" displayFolder="" count="0" memberValueDatatype="20" unbalanced="0"/>
    <cacheHierarchy uniqueName="[Emp_Data].[OT_Hours]" caption="OT_Hours" attribute="1" defaultMemberUniqueName="[Emp_Data].[OT_Hours].[All]" allUniqueName="[Emp_Data].[OT_Hours].[All]" dimensionUniqueName="[Emp_Data]" displayFolder="" count="0" memberValueDatatype="20" unbalanced="0"/>
    <cacheHierarchy uniqueName="[Emp_Data].[OT_Amount]" caption="OT_Amount" attribute="1" defaultMemberUniqueName="[Emp_Data].[OT_Amount].[All]" allUniqueName="[Emp_Data].[OT_Amount].[All]" dimensionUniqueName="[Emp_Data]" displayFolder="" count="0" memberValueDatatype="20" unbalanced="0"/>
    <cacheHierarchy uniqueName="[Emp_Data].[Gross_Salary]" caption="Gross_Salary" attribute="1" defaultMemberUniqueName="[Emp_Data].[Gross_Salary].[All]" allUniqueName="[Emp_Data].[Gross_Salary].[All]" dimensionUniqueName="[Emp_Data]" displayFolder="" count="0" memberValueDatatype="20" unbalanced="0"/>
    <cacheHierarchy uniqueName="[Emp_Data].[PF]" caption="PF" attribute="1" defaultMemberUniqueName="[Emp_Data].[PF].[All]" allUniqueName="[Emp_Data].[PF].[All]" dimensionUniqueName="[Emp_Data]" displayFolder="" count="0" memberValueDatatype="20" unbalanced="0"/>
    <cacheHierarchy uniqueName="[Emp_Data].[ESI]" caption="ESI" attribute="1" defaultMemberUniqueName="[Emp_Data].[ESI].[All]" allUniqueName="[Emp_Data].[ESI].[All]" dimensionUniqueName="[Emp_Data]" displayFolder="" count="0" memberValueDatatype="20" unbalanced="0"/>
    <cacheHierarchy uniqueName="[Emp_Data].[TDS]" caption="TDS" attribute="1" defaultMemberUniqueName="[Emp_Data].[TDS].[All]" allUniqueName="[Emp_Data].[TDS].[All]" dimensionUniqueName="[Emp_Data]" displayFolder="" count="0" memberValueDatatype="20" unbalanced="0"/>
    <cacheHierarchy uniqueName="[Emp_Data].[Other_Deductions]" caption="Other_Deductions" attribute="1" defaultMemberUniqueName="[Emp_Data].[Other_Deductions].[All]" allUniqueName="[Emp_Data].[Other_Deductions].[All]" dimensionUniqueName="[Emp_Data]" displayFolder="" count="0" memberValueDatatype="20" unbalanced="0"/>
    <cacheHierarchy uniqueName="[Emp_Data].[Total_Deductions]" caption="Total_Deductions" attribute="1" defaultMemberUniqueName="[Emp_Data].[Total_Deductions].[All]" allUniqueName="[Emp_Data].[Total_Deductions].[All]" dimensionUniqueName="[Emp_Data]" displayFolder="" count="0" memberValueDatatype="20" unbalanced="0"/>
    <cacheHierarchy uniqueName="[Emp_Data].[Net_Salary]" caption="Net_Salary" attribute="1" defaultMemberUniqueName="[Emp_Data].[Net_Salary].[All]" allUniqueName="[Emp_Data].[Net_Salary].[All]" dimensionUniqueName="[Emp_Data]" displayFolder="" count="0" memberValueDatatype="20" unbalanced="0"/>
    <cacheHierarchy uniqueName="[Emp_Data].[Present_Flag]" caption="Present_Flag" attribute="1" defaultMemberUniqueName="[Emp_Data].[Present_Flag].[All]" allUniqueName="[Emp_Data].[Present_Flag].[All]" dimensionUniqueName="[Emp_Data]" displayFolder="" count="0" memberValueDatatype="20" unbalanced="0"/>
    <cacheHierarchy uniqueName="[Emp_Data].[Absent_Flag]" caption="Absent_Flag" attribute="1" defaultMemberUniqueName="[Emp_Data].[Absent_Flag].[All]" allUniqueName="[Emp_Data].[Absent_Flag].[All]" dimensionUniqueName="[Emp_Data]" displayFolder="" count="0" memberValueDatatype="20" unbalanced="0"/>
    <cacheHierarchy uniqueName="[Emp_Data].[Late_Flag]" caption="Late_Flag" attribute="1" defaultMemberUniqueName="[Emp_Data].[Late_Flag].[All]" allUniqueName="[Emp_Data].[Late_Flag].[All]" dimensionUniqueName="[Emp_Data]" displayFolder="" count="0" memberValueDatatype="20" unbalanced="0"/>
    <cacheHierarchy uniqueName="[Emp_Data].[Leave_Flag]" caption="Leave_Flag" attribute="1" defaultMemberUniqueName="[Emp_Data].[Leave_Flag].[All]" allUniqueName="[Emp_Data].[Leave_Flag].[All]" dimensionUniqueName="[Emp_Data]" displayFolder="" count="0" memberValueDatatype="20" unbalanced="0"/>
    <cacheHierarchy uniqueName="[Measures].[__XL_Count Emp_Data]" caption="__XL_Count Emp_Data" measure="1" displayFolder="" measureGroup="Emp_Data" count="0" hidden="1"/>
    <cacheHierarchy uniqueName="[Measures].[__No measures defined]" caption="__No measures defined" measure="1" displayFolder="" count="0" hidden="1"/>
    <cacheHierarchy uniqueName="[Measures].[Count of Employee_ID]" caption="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Distinct Count of Employee_ID]" caption="Distinct Count of Employee_ID" measure="1" displayFolder="" measureGroup="Emp_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resent_Flag]" caption="Sum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Distinct Count of Present_Flag]" caption="Distinct Count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Sum of Absent_Flag]" caption="Sum of Absent_Flag" measure="1" displayFolder="" measureGroup="Emp_Data" count="0" hidden="1">
      <extLst>
        <ext xmlns:x15="http://schemas.microsoft.com/office/spreadsheetml/2010/11/main" uri="{B97F6D7D-B522-45F9-BDA1-12C45D357490}">
          <x15:cacheHierarchy aggregatedColumn="27"/>
        </ext>
      </extLst>
    </cacheHierarchy>
    <cacheHierarchy uniqueName="[Measures].[Sum of Leave_Flag]" caption="Sum of Leave_Flag" measure="1" displayFolder="" measureGroup="Emp_Data" count="0" hidden="1">
      <extLst>
        <ext xmlns:x15="http://schemas.microsoft.com/office/spreadsheetml/2010/11/main" uri="{B97F6D7D-B522-45F9-BDA1-12C45D357490}">
          <x15:cacheHierarchy aggregatedColumn="29"/>
        </ext>
      </extLst>
    </cacheHierarchy>
    <cacheHierarchy uniqueName="[Measures].[Sum of Late_Flag]" caption="Sum of Late_Flag" measure="1" displayFolder="" measureGroup="Emp_Data" count="0" hidden="1">
      <extLst>
        <ext xmlns:x15="http://schemas.microsoft.com/office/spreadsheetml/2010/11/main" uri="{B97F6D7D-B522-45F9-BDA1-12C45D357490}">
          <x15:cacheHierarchy aggregatedColumn="28"/>
        </ext>
      </extLst>
    </cacheHierarchy>
    <cacheHierarchy uniqueName="[Measures].[Sum of Gross_Salary]" caption="Sum of Gross_Salary" measure="1" displayFolder="" measureGroup="Emp_Data" count="0" hidden="1">
      <extLst>
        <ext xmlns:x15="http://schemas.microsoft.com/office/spreadsheetml/2010/11/main" uri="{B97F6D7D-B522-45F9-BDA1-12C45D357490}">
          <x15:cacheHierarchy aggregatedColumn="19"/>
        </ext>
      </extLst>
    </cacheHierarchy>
    <cacheHierarchy uniqueName="[Measures].[Sum of Net_Salary]" caption="Sum of Net_Salary" measure="1" displayFolder="" measureGroup="Emp_Data" count="0" hidden="1">
      <extLst>
        <ext xmlns:x15="http://schemas.microsoft.com/office/spreadsheetml/2010/11/main" uri="{B97F6D7D-B522-45F9-BDA1-12C45D357490}">
          <x15:cacheHierarchy aggregatedColumn="25"/>
        </ext>
      </extLst>
    </cacheHierarchy>
    <cacheHierarchy uniqueName="[Measures].[Sum of OT_Hours]" caption="Sum of OT_Hours" measure="1" displayFolder="" measureGroup="Emp_Data" count="0" hidden="1">
      <extLst>
        <ext xmlns:x15="http://schemas.microsoft.com/office/spreadsheetml/2010/11/main" uri="{B97F6D7D-B522-45F9-BDA1-12C45D357490}">
          <x15:cacheHierarchy aggregatedColumn="17"/>
        </ext>
      </extLst>
    </cacheHierarchy>
    <cacheHierarchy uniqueName="[Measures].[Sum of OT_Amount]" caption="Sum of OT_Amount" measure="1" displayFolder="" measureGroup="Emp_Data" count="0" hidden="1">
      <extLst>
        <ext xmlns:x15="http://schemas.microsoft.com/office/spreadsheetml/2010/11/main" uri="{B97F6D7D-B522-45F9-BDA1-12C45D357490}">
          <x15:cacheHierarchy aggregatedColumn="18"/>
        </ext>
      </extLst>
    </cacheHierarchy>
    <cacheHierarchy uniqueName="[Measures].[Count of Leave_Type]" caption="Count of Leave_Type" measure="1" displayFolder="" measureGroup="Emp_Data" count="0" hidden="1">
      <extLst>
        <ext xmlns:x15="http://schemas.microsoft.com/office/spreadsheetml/2010/11/main" uri="{B97F6D7D-B522-45F9-BDA1-12C45D357490}">
          <x15:cacheHierarchy aggregatedColumn="11"/>
        </ext>
      </extLst>
    </cacheHierarchy>
    <cacheHierarchy uniqueName="[Measures].[Sum of PF]" caption="Sum of PF" measure="1" displayFolder="" measureGroup="Emp_Data" count="0" hidden="1">
      <extLst>
        <ext xmlns:x15="http://schemas.microsoft.com/office/spreadsheetml/2010/11/main" uri="{B97F6D7D-B522-45F9-BDA1-12C45D357490}">
          <x15:cacheHierarchy aggregatedColumn="20"/>
        </ext>
      </extLst>
    </cacheHierarchy>
    <cacheHierarchy uniqueName="[Measures].[Sum of ESI]" caption="Sum of ESI" measure="1" displayFolder="" measureGroup="Emp_Data" count="0" hidden="1">
      <extLst>
        <ext xmlns:x15="http://schemas.microsoft.com/office/spreadsheetml/2010/11/main" uri="{B97F6D7D-B522-45F9-BDA1-12C45D357490}">
          <x15:cacheHierarchy aggregatedColumn="21"/>
        </ext>
      </extLst>
    </cacheHierarchy>
    <cacheHierarchy uniqueName="[Measures].[Sum of TDS]" caption="Sum of TDS" measure="1" displayFolder="" measureGroup="Emp_Data" count="0" hidden="1">
      <extLst>
        <ext xmlns:x15="http://schemas.microsoft.com/office/spreadsheetml/2010/11/main" uri="{B97F6D7D-B522-45F9-BDA1-12C45D357490}">
          <x15:cacheHierarchy aggregatedColumn="22"/>
        </ext>
      </extLst>
    </cacheHierarchy>
    <cacheHierarchy uniqueName="[Measures].[Sum of Other_Deductions]" caption="Sum of Other_Deductions" measure="1" displayFolder="" measureGroup="Emp_Data" count="0" hidden="1">
      <extLst>
        <ext xmlns:x15="http://schemas.microsoft.com/office/spreadsheetml/2010/11/main" uri="{B97F6D7D-B522-45F9-BDA1-12C45D357490}">
          <x15:cacheHierarchy aggregatedColumn="23"/>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SH JADHAV" refreshedDate="46283.277677662038" backgroundQuery="1" createdVersion="8" refreshedVersion="8" minRefreshableVersion="3" recordCount="0" supportSubquery="1" supportAdvancedDrill="1" xr:uid="{4D072047-ADE4-4E66-AC90-B93B10EEE055}">
  <cacheSource type="external" connectionId="6"/>
  <cacheFields count="3">
    <cacheField name="[Emp_Data].[Leave_Type].[Leave_Type]" caption="Leave_Type" numFmtId="0" hierarchy="11" level="1">
      <sharedItems count="6">
        <s v=""/>
        <s v="Casual Leave"/>
        <s v="Earned Leave"/>
        <s v="Maternity Leave"/>
        <s v="Other"/>
        <s v="Sick Leave"/>
      </sharedItems>
    </cacheField>
    <cacheField name="[Measures].[Sum of Leave_Flag]" caption="Sum of Leave_Flag" numFmtId="0" hierarchy="37" level="32767"/>
    <cacheField name="[Emp_Data].[Department].[Department]" caption="Department" numFmtId="0" hierarchy="3" level="1">
      <sharedItems containsSemiMixedTypes="0" containsNonDate="0" containsString="0"/>
    </cacheField>
  </cacheFields>
  <cacheHierarchies count="48">
    <cacheHierarchy uniqueName="[Emp_Data].[Date]" caption="Date" attribute="1" time="1" defaultMemberUniqueName="[Emp_Data].[Date].[All]" allUniqueName="[Emp_Data].[Date].[All]" dimensionUniqueName="[Emp_Data]" displayFolder="" count="0" memberValueDatatype="7" unbalanced="0"/>
    <cacheHierarchy uniqueName="[Emp_Data].[Employee_ID]" caption="Employee_ID" attribute="1" defaultMemberUniqueName="[Emp_Data].[Employee_ID].[All]" allUniqueName="[Emp_Data].[Employee_ID].[All]" dimensionUniqueName="[Emp_Data]" displayFolder="" count="2" memberValueDatatype="130" unbalanced="0"/>
    <cacheHierarchy uniqueName="[Emp_Data].[Employee_Name]" caption="Employee_Name" attribute="1" defaultMemberUniqueName="[Emp_Data].[Employee_Name].[All]" allUniqueName="[Emp_Data].[Employee_Name].[All]" dimensionUniqueName="[Emp_Data]" displayFolder="" count="0" memberValueDatatype="130" unbalanced="0"/>
    <cacheHierarchy uniqueName="[Emp_Data].[Department]" caption="Department" attribute="1" defaultMemberUniqueName="[Emp_Data].[Department].[All]" allUniqueName="[Emp_Data].[Department].[All]" dimensionUniqueName="[Emp_Data]" displayFolder="" count="2" memberValueDatatype="130" unbalanced="0">
      <fieldsUsage count="2">
        <fieldUsage x="-1"/>
        <fieldUsage x="2"/>
      </fieldsUsage>
    </cacheHierarchy>
    <cacheHierarchy uniqueName="[Emp_Data].[Location]" caption="Location" attribute="1" defaultMemberUniqueName="[Emp_Data].[Location].[All]" allUniqueName="[Emp_Data].[Location].[All]" dimensionUniqueName="[Emp_Data]" displayFolder="" count="2" memberValueDatatype="130" unbalanced="0"/>
    <cacheHierarchy uniqueName="[Emp_Data].[Employee_Type]" caption="Employee_Type" attribute="1" defaultMemberUniqueName="[Emp_Data].[Employee_Type].[All]" allUniqueName="[Emp_Data].[Employee_Type].[All]" dimensionUniqueName="[Emp_Data]" displayFolder="" count="2" memberValueDatatype="130" unbalanced="0"/>
    <cacheHierarchy uniqueName="[Emp_Data].[Date_of_Joining]" caption="Date_of_Joining" attribute="1" time="1" defaultMemberUniqueName="[Emp_Data].[Date_of_Joining].[All]" allUniqueName="[Emp_Data].[Date_of_Joining].[All]" dimensionUniqueName="[Emp_Data]" displayFolder="" count="0" memberValueDatatype="7" unbalanced="0"/>
    <cacheHierarchy uniqueName="[Emp_Data].[Basic_Salary]" caption="Basic_Salary" attribute="1" defaultMemberUniqueName="[Emp_Data].[Basic_Salary].[All]" allUniqueName="[Emp_Data].[Basic_Salary].[All]" dimensionUniqueName="[Emp_Data]" displayFolder="" count="0" memberValueDatatype="20" unbalanced="0"/>
    <cacheHierarchy uniqueName="[Emp_Data].[Status]" caption="Status" attribute="1" defaultMemberUniqueName="[Emp_Data].[Status].[All]" allUniqueName="[Emp_Data].[Status].[All]" dimensionUniqueName="[Emp_Data]" displayFolder="" count="0" memberValueDatatype="130" unbalanced="0"/>
    <cacheHierarchy uniqueName="[Emp_Data].[Check_In]" caption="Check_In" attribute="1" defaultMemberUniqueName="[Emp_Data].[Check_In].[All]" allUniqueName="[Emp_Data].[Check_In].[All]" dimensionUniqueName="[Emp_Data]" displayFolder="" count="0" memberValueDatatype="130" unbalanced="0"/>
    <cacheHierarchy uniqueName="[Emp_Data].[Check_Out]" caption="Check_Out" attribute="1" defaultMemberUniqueName="[Emp_Data].[Check_Out].[All]" allUniqueName="[Emp_Data].[Check_Out].[All]" dimensionUniqueName="[Emp_Data]" displayFolder="" count="0" memberValueDatatype="130" unbalanced="0"/>
    <cacheHierarchy uniqueName="[Emp_Data].[Leave_Type]" caption="Leave_Type" attribute="1" defaultMemberUniqueName="[Emp_Data].[Leave_Type].[All]" allUniqueName="[Emp_Data].[Leave_Type].[All]" dimensionUniqueName="[Emp_Data]" displayFolder="" count="2" memberValueDatatype="130" unbalanced="0">
      <fieldsUsage count="2">
        <fieldUsage x="-1"/>
        <fieldUsage x="0"/>
      </fieldsUsage>
    </cacheHierarchy>
    <cacheHierarchy uniqueName="[Emp_Data].[Basic_Salary.1]" caption="Basic_Salary.1" attribute="1" defaultMemberUniqueName="[Emp_Data].[Basic_Salary.1].[All]" allUniqueName="[Emp_Data].[Basic_Salary.1].[All]" dimensionUniqueName="[Emp_Data]" displayFolder="" count="0" memberValueDatatype="20" unbalanced="0"/>
    <cacheHierarchy uniqueName="[Emp_Data].[HRA]" caption="HRA" attribute="1" defaultMemberUniqueName="[Emp_Data].[HRA].[All]" allUniqueName="[Emp_Data].[HRA].[All]" dimensionUniqueName="[Emp_Data]" displayFolder="" count="0" memberValueDatatype="20" unbalanced="0"/>
    <cacheHierarchy uniqueName="[Emp_Data].[Conveyance]" caption="Conveyance" attribute="1" defaultMemberUniqueName="[Emp_Data].[Conveyance].[All]" allUniqueName="[Emp_Data].[Conveyance].[All]" dimensionUniqueName="[Emp_Data]" displayFolder="" count="0" memberValueDatatype="20" unbalanced="0"/>
    <cacheHierarchy uniqueName="[Emp_Data].[Medical_Allowance]" caption="Medical_Allowance" attribute="1" defaultMemberUniqueName="[Emp_Data].[Medical_Allowance].[All]" allUniqueName="[Emp_Data].[Medical_Allowance].[All]" dimensionUniqueName="[Emp_Data]" displayFolder="" count="0" memberValueDatatype="20" unbalanced="0"/>
    <cacheHierarchy uniqueName="[Emp_Data].[Special_Allowance]" caption="Special_Allowance" attribute="1" defaultMemberUniqueName="[Emp_Data].[Special_Allowance].[All]" allUniqueName="[Emp_Data].[Special_Allowance].[All]" dimensionUniqueName="[Emp_Data]" displayFolder="" count="0" memberValueDatatype="20" unbalanced="0"/>
    <cacheHierarchy uniqueName="[Emp_Data].[OT_Hours]" caption="OT_Hours" attribute="1" defaultMemberUniqueName="[Emp_Data].[OT_Hours].[All]" allUniqueName="[Emp_Data].[OT_Hours].[All]" dimensionUniqueName="[Emp_Data]" displayFolder="" count="0" memberValueDatatype="20" unbalanced="0"/>
    <cacheHierarchy uniqueName="[Emp_Data].[OT_Amount]" caption="OT_Amount" attribute="1" defaultMemberUniqueName="[Emp_Data].[OT_Amount].[All]" allUniqueName="[Emp_Data].[OT_Amount].[All]" dimensionUniqueName="[Emp_Data]" displayFolder="" count="0" memberValueDatatype="20" unbalanced="0"/>
    <cacheHierarchy uniqueName="[Emp_Data].[Gross_Salary]" caption="Gross_Salary" attribute="1" defaultMemberUniqueName="[Emp_Data].[Gross_Salary].[All]" allUniqueName="[Emp_Data].[Gross_Salary].[All]" dimensionUniqueName="[Emp_Data]" displayFolder="" count="0" memberValueDatatype="20" unbalanced="0"/>
    <cacheHierarchy uniqueName="[Emp_Data].[PF]" caption="PF" attribute="1" defaultMemberUniqueName="[Emp_Data].[PF].[All]" allUniqueName="[Emp_Data].[PF].[All]" dimensionUniqueName="[Emp_Data]" displayFolder="" count="0" memberValueDatatype="20" unbalanced="0"/>
    <cacheHierarchy uniqueName="[Emp_Data].[ESI]" caption="ESI" attribute="1" defaultMemberUniqueName="[Emp_Data].[ESI].[All]" allUniqueName="[Emp_Data].[ESI].[All]" dimensionUniqueName="[Emp_Data]" displayFolder="" count="0" memberValueDatatype="20" unbalanced="0"/>
    <cacheHierarchy uniqueName="[Emp_Data].[TDS]" caption="TDS" attribute="1" defaultMemberUniqueName="[Emp_Data].[TDS].[All]" allUniqueName="[Emp_Data].[TDS].[All]" dimensionUniqueName="[Emp_Data]" displayFolder="" count="0" memberValueDatatype="20" unbalanced="0"/>
    <cacheHierarchy uniqueName="[Emp_Data].[Other_Deductions]" caption="Other_Deductions" attribute="1" defaultMemberUniqueName="[Emp_Data].[Other_Deductions].[All]" allUniqueName="[Emp_Data].[Other_Deductions].[All]" dimensionUniqueName="[Emp_Data]" displayFolder="" count="0" memberValueDatatype="20" unbalanced="0"/>
    <cacheHierarchy uniqueName="[Emp_Data].[Total_Deductions]" caption="Total_Deductions" attribute="1" defaultMemberUniqueName="[Emp_Data].[Total_Deductions].[All]" allUniqueName="[Emp_Data].[Total_Deductions].[All]" dimensionUniqueName="[Emp_Data]" displayFolder="" count="0" memberValueDatatype="20" unbalanced="0"/>
    <cacheHierarchy uniqueName="[Emp_Data].[Net_Salary]" caption="Net_Salary" attribute="1" defaultMemberUniqueName="[Emp_Data].[Net_Salary].[All]" allUniqueName="[Emp_Data].[Net_Salary].[All]" dimensionUniqueName="[Emp_Data]" displayFolder="" count="0" memberValueDatatype="20" unbalanced="0"/>
    <cacheHierarchy uniqueName="[Emp_Data].[Present_Flag]" caption="Present_Flag" attribute="1" defaultMemberUniqueName="[Emp_Data].[Present_Flag].[All]" allUniqueName="[Emp_Data].[Present_Flag].[All]" dimensionUniqueName="[Emp_Data]" displayFolder="" count="0" memberValueDatatype="20" unbalanced="0"/>
    <cacheHierarchy uniqueName="[Emp_Data].[Absent_Flag]" caption="Absent_Flag" attribute="1" defaultMemberUniqueName="[Emp_Data].[Absent_Flag].[All]" allUniqueName="[Emp_Data].[Absent_Flag].[All]" dimensionUniqueName="[Emp_Data]" displayFolder="" count="0" memberValueDatatype="20" unbalanced="0"/>
    <cacheHierarchy uniqueName="[Emp_Data].[Late_Flag]" caption="Late_Flag" attribute="1" defaultMemberUniqueName="[Emp_Data].[Late_Flag].[All]" allUniqueName="[Emp_Data].[Late_Flag].[All]" dimensionUniqueName="[Emp_Data]" displayFolder="" count="0" memberValueDatatype="20" unbalanced="0"/>
    <cacheHierarchy uniqueName="[Emp_Data].[Leave_Flag]" caption="Leave_Flag" attribute="1" defaultMemberUniqueName="[Emp_Data].[Leave_Flag].[All]" allUniqueName="[Emp_Data].[Leave_Flag].[All]" dimensionUniqueName="[Emp_Data]" displayFolder="" count="0" memberValueDatatype="20" unbalanced="0"/>
    <cacheHierarchy uniqueName="[Measures].[__XL_Count Emp_Data]" caption="__XL_Count Emp_Data" measure="1" displayFolder="" measureGroup="Emp_Data" count="0" hidden="1"/>
    <cacheHierarchy uniqueName="[Measures].[__No measures defined]" caption="__No measures defined" measure="1" displayFolder="" count="0" hidden="1"/>
    <cacheHierarchy uniqueName="[Measures].[Count of Employee_ID]" caption="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Distinct Count of Employee_ID]" caption="Distinct 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Sum of Present_Flag]" caption="Sum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Distinct Count of Present_Flag]" caption="Distinct Count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Sum of Absent_Flag]" caption="Sum of Absent_Flag" measure="1" displayFolder="" measureGroup="Emp_Data" count="0" hidden="1">
      <extLst>
        <ext xmlns:x15="http://schemas.microsoft.com/office/spreadsheetml/2010/11/main" uri="{B97F6D7D-B522-45F9-BDA1-12C45D357490}">
          <x15:cacheHierarchy aggregatedColumn="27"/>
        </ext>
      </extLst>
    </cacheHierarchy>
    <cacheHierarchy uniqueName="[Measures].[Sum of Leave_Flag]" caption="Sum of Leave_Flag" measure="1" displayFolder="" measureGroup="Emp_Data"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Late_Flag]" caption="Sum of Late_Flag" measure="1" displayFolder="" measureGroup="Emp_Data" count="0" hidden="1">
      <extLst>
        <ext xmlns:x15="http://schemas.microsoft.com/office/spreadsheetml/2010/11/main" uri="{B97F6D7D-B522-45F9-BDA1-12C45D357490}">
          <x15:cacheHierarchy aggregatedColumn="28"/>
        </ext>
      </extLst>
    </cacheHierarchy>
    <cacheHierarchy uniqueName="[Measures].[Sum of Gross_Salary]" caption="Sum of Gross_Salary" measure="1" displayFolder="" measureGroup="Emp_Data" count="0" hidden="1">
      <extLst>
        <ext xmlns:x15="http://schemas.microsoft.com/office/spreadsheetml/2010/11/main" uri="{B97F6D7D-B522-45F9-BDA1-12C45D357490}">
          <x15:cacheHierarchy aggregatedColumn="19"/>
        </ext>
      </extLst>
    </cacheHierarchy>
    <cacheHierarchy uniqueName="[Measures].[Sum of Net_Salary]" caption="Sum of Net_Salary" measure="1" displayFolder="" measureGroup="Emp_Data" count="0" hidden="1">
      <extLst>
        <ext xmlns:x15="http://schemas.microsoft.com/office/spreadsheetml/2010/11/main" uri="{B97F6D7D-B522-45F9-BDA1-12C45D357490}">
          <x15:cacheHierarchy aggregatedColumn="25"/>
        </ext>
      </extLst>
    </cacheHierarchy>
    <cacheHierarchy uniqueName="[Measures].[Sum of OT_Hours]" caption="Sum of OT_Hours" measure="1" displayFolder="" measureGroup="Emp_Data" count="0" hidden="1">
      <extLst>
        <ext xmlns:x15="http://schemas.microsoft.com/office/spreadsheetml/2010/11/main" uri="{B97F6D7D-B522-45F9-BDA1-12C45D357490}">
          <x15:cacheHierarchy aggregatedColumn="17"/>
        </ext>
      </extLst>
    </cacheHierarchy>
    <cacheHierarchy uniqueName="[Measures].[Sum of OT_Amount]" caption="Sum of OT_Amount" measure="1" displayFolder="" measureGroup="Emp_Data" count="0" hidden="1">
      <extLst>
        <ext xmlns:x15="http://schemas.microsoft.com/office/spreadsheetml/2010/11/main" uri="{B97F6D7D-B522-45F9-BDA1-12C45D357490}">
          <x15:cacheHierarchy aggregatedColumn="18"/>
        </ext>
      </extLst>
    </cacheHierarchy>
    <cacheHierarchy uniqueName="[Measures].[Count of Leave_Type]" caption="Count of Leave_Type" measure="1" displayFolder="" measureGroup="Emp_Data" count="0" hidden="1">
      <extLst>
        <ext xmlns:x15="http://schemas.microsoft.com/office/spreadsheetml/2010/11/main" uri="{B97F6D7D-B522-45F9-BDA1-12C45D357490}">
          <x15:cacheHierarchy aggregatedColumn="11"/>
        </ext>
      </extLst>
    </cacheHierarchy>
    <cacheHierarchy uniqueName="[Measures].[Sum of PF]" caption="Sum of PF" measure="1" displayFolder="" measureGroup="Emp_Data" count="0" hidden="1">
      <extLst>
        <ext xmlns:x15="http://schemas.microsoft.com/office/spreadsheetml/2010/11/main" uri="{B97F6D7D-B522-45F9-BDA1-12C45D357490}">
          <x15:cacheHierarchy aggregatedColumn="20"/>
        </ext>
      </extLst>
    </cacheHierarchy>
    <cacheHierarchy uniqueName="[Measures].[Sum of ESI]" caption="Sum of ESI" measure="1" displayFolder="" measureGroup="Emp_Data" count="0" hidden="1">
      <extLst>
        <ext xmlns:x15="http://schemas.microsoft.com/office/spreadsheetml/2010/11/main" uri="{B97F6D7D-B522-45F9-BDA1-12C45D357490}">
          <x15:cacheHierarchy aggregatedColumn="21"/>
        </ext>
      </extLst>
    </cacheHierarchy>
    <cacheHierarchy uniqueName="[Measures].[Sum of TDS]" caption="Sum of TDS" measure="1" displayFolder="" measureGroup="Emp_Data" count="0" hidden="1">
      <extLst>
        <ext xmlns:x15="http://schemas.microsoft.com/office/spreadsheetml/2010/11/main" uri="{B97F6D7D-B522-45F9-BDA1-12C45D357490}">
          <x15:cacheHierarchy aggregatedColumn="22"/>
        </ext>
      </extLst>
    </cacheHierarchy>
    <cacheHierarchy uniqueName="[Measures].[Sum of Other_Deductions]" caption="Sum of Other_Deductions" measure="1" displayFolder="" measureGroup="Emp_Data" count="0" hidden="1">
      <extLst>
        <ext xmlns:x15="http://schemas.microsoft.com/office/spreadsheetml/2010/11/main" uri="{B97F6D7D-B522-45F9-BDA1-12C45D357490}">
          <x15:cacheHierarchy aggregatedColumn="23"/>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SH JADHAV" refreshedDate="46283.277679398147" backgroundQuery="1" createdVersion="8" refreshedVersion="8" minRefreshableVersion="3" recordCount="0" supportSubquery="1" supportAdvancedDrill="1" xr:uid="{6D233D49-00A0-4B9D-B1CA-872DC411CF45}">
  <cacheSource type="external" connectionId="6"/>
  <cacheFields count="2">
    <cacheField name="[Emp_Data].[Department].[Department]" caption="Department" numFmtId="0" hierarchy="3" level="1">
      <sharedItems count="5">
        <s v="Finance"/>
        <s v="HR"/>
        <s v="IT"/>
        <s v="Operations"/>
        <s v="Sales"/>
      </sharedItems>
    </cacheField>
    <cacheField name="[Measures].[Sum of Gross_Salary]" caption="Sum of Gross_Salary" numFmtId="0" hierarchy="39" level="32767"/>
  </cacheFields>
  <cacheHierarchies count="48">
    <cacheHierarchy uniqueName="[Emp_Data].[Date]" caption="Date" attribute="1" time="1" defaultMemberUniqueName="[Emp_Data].[Date].[All]" allUniqueName="[Emp_Data].[Date].[All]" dimensionUniqueName="[Emp_Data]" displayFolder="" count="0" memberValueDatatype="7" unbalanced="0"/>
    <cacheHierarchy uniqueName="[Emp_Data].[Employee_ID]" caption="Employee_ID" attribute="1" defaultMemberUniqueName="[Emp_Data].[Employee_ID].[All]" allUniqueName="[Emp_Data].[Employee_ID].[All]" dimensionUniqueName="[Emp_Data]" displayFolder="" count="2" memberValueDatatype="130" unbalanced="0"/>
    <cacheHierarchy uniqueName="[Emp_Data].[Employee_Name]" caption="Employee_Name" attribute="1" defaultMemberUniqueName="[Emp_Data].[Employee_Name].[All]" allUniqueName="[Emp_Data].[Employee_Name].[All]" dimensionUniqueName="[Emp_Data]" displayFolder="" count="0" memberValueDatatype="130" unbalanced="0"/>
    <cacheHierarchy uniqueName="[Emp_Data].[Department]" caption="Department" attribute="1" defaultMemberUniqueName="[Emp_Data].[Department].[All]" allUniqueName="[Emp_Data].[Department].[All]" dimensionUniqueName="[Emp_Data]" displayFolder="" count="2" memberValueDatatype="130" unbalanced="0">
      <fieldsUsage count="2">
        <fieldUsage x="-1"/>
        <fieldUsage x="0"/>
      </fieldsUsage>
    </cacheHierarchy>
    <cacheHierarchy uniqueName="[Emp_Data].[Location]" caption="Location" attribute="1" defaultMemberUniqueName="[Emp_Data].[Location].[All]" allUniqueName="[Emp_Data].[Location].[All]" dimensionUniqueName="[Emp_Data]" displayFolder="" count="0" memberValueDatatype="130" unbalanced="0"/>
    <cacheHierarchy uniqueName="[Emp_Data].[Employee_Type]" caption="Employee_Type" attribute="1" defaultMemberUniqueName="[Emp_Data].[Employee_Type].[All]" allUniqueName="[Emp_Data].[Employee_Type].[All]" dimensionUniqueName="[Emp_Data]" displayFolder="" count="2" memberValueDatatype="130" unbalanced="0"/>
    <cacheHierarchy uniqueName="[Emp_Data].[Date_of_Joining]" caption="Date_of_Joining" attribute="1" time="1" defaultMemberUniqueName="[Emp_Data].[Date_of_Joining].[All]" allUniqueName="[Emp_Data].[Date_of_Joining].[All]" dimensionUniqueName="[Emp_Data]" displayFolder="" count="0" memberValueDatatype="7" unbalanced="0"/>
    <cacheHierarchy uniqueName="[Emp_Data].[Basic_Salary]" caption="Basic_Salary" attribute="1" defaultMemberUniqueName="[Emp_Data].[Basic_Salary].[All]" allUniqueName="[Emp_Data].[Basic_Salary].[All]" dimensionUniqueName="[Emp_Data]" displayFolder="" count="0" memberValueDatatype="20" unbalanced="0"/>
    <cacheHierarchy uniqueName="[Emp_Data].[Status]" caption="Status" attribute="1" defaultMemberUniqueName="[Emp_Data].[Status].[All]" allUniqueName="[Emp_Data].[Status].[All]" dimensionUniqueName="[Emp_Data]" displayFolder="" count="0" memberValueDatatype="130" unbalanced="0"/>
    <cacheHierarchy uniqueName="[Emp_Data].[Check_In]" caption="Check_In" attribute="1" defaultMemberUniqueName="[Emp_Data].[Check_In].[All]" allUniqueName="[Emp_Data].[Check_In].[All]" dimensionUniqueName="[Emp_Data]" displayFolder="" count="0" memberValueDatatype="130" unbalanced="0"/>
    <cacheHierarchy uniqueName="[Emp_Data].[Check_Out]" caption="Check_Out" attribute="1" defaultMemberUniqueName="[Emp_Data].[Check_Out].[All]" allUniqueName="[Emp_Data].[Check_Out].[All]" dimensionUniqueName="[Emp_Data]" displayFolder="" count="0" memberValueDatatype="130" unbalanced="0"/>
    <cacheHierarchy uniqueName="[Emp_Data].[Leave_Type]" caption="Leave_Type" attribute="1" defaultMemberUniqueName="[Emp_Data].[Leave_Type].[All]" allUniqueName="[Emp_Data].[Leave_Type].[All]" dimensionUniqueName="[Emp_Data]" displayFolder="" count="0" memberValueDatatype="130" unbalanced="0"/>
    <cacheHierarchy uniqueName="[Emp_Data].[Basic_Salary.1]" caption="Basic_Salary.1" attribute="1" defaultMemberUniqueName="[Emp_Data].[Basic_Salary.1].[All]" allUniqueName="[Emp_Data].[Basic_Salary.1].[All]" dimensionUniqueName="[Emp_Data]" displayFolder="" count="0" memberValueDatatype="20" unbalanced="0"/>
    <cacheHierarchy uniqueName="[Emp_Data].[HRA]" caption="HRA" attribute="1" defaultMemberUniqueName="[Emp_Data].[HRA].[All]" allUniqueName="[Emp_Data].[HRA].[All]" dimensionUniqueName="[Emp_Data]" displayFolder="" count="0" memberValueDatatype="20" unbalanced="0"/>
    <cacheHierarchy uniqueName="[Emp_Data].[Conveyance]" caption="Conveyance" attribute="1" defaultMemberUniqueName="[Emp_Data].[Conveyance].[All]" allUniqueName="[Emp_Data].[Conveyance].[All]" dimensionUniqueName="[Emp_Data]" displayFolder="" count="0" memberValueDatatype="20" unbalanced="0"/>
    <cacheHierarchy uniqueName="[Emp_Data].[Medical_Allowance]" caption="Medical_Allowance" attribute="1" defaultMemberUniqueName="[Emp_Data].[Medical_Allowance].[All]" allUniqueName="[Emp_Data].[Medical_Allowance].[All]" dimensionUniqueName="[Emp_Data]" displayFolder="" count="0" memberValueDatatype="20" unbalanced="0"/>
    <cacheHierarchy uniqueName="[Emp_Data].[Special_Allowance]" caption="Special_Allowance" attribute="1" defaultMemberUniqueName="[Emp_Data].[Special_Allowance].[All]" allUniqueName="[Emp_Data].[Special_Allowance].[All]" dimensionUniqueName="[Emp_Data]" displayFolder="" count="0" memberValueDatatype="20" unbalanced="0"/>
    <cacheHierarchy uniqueName="[Emp_Data].[OT_Hours]" caption="OT_Hours" attribute="1" defaultMemberUniqueName="[Emp_Data].[OT_Hours].[All]" allUniqueName="[Emp_Data].[OT_Hours].[All]" dimensionUniqueName="[Emp_Data]" displayFolder="" count="0" memberValueDatatype="20" unbalanced="0"/>
    <cacheHierarchy uniqueName="[Emp_Data].[OT_Amount]" caption="OT_Amount" attribute="1" defaultMemberUniqueName="[Emp_Data].[OT_Amount].[All]" allUniqueName="[Emp_Data].[OT_Amount].[All]" dimensionUniqueName="[Emp_Data]" displayFolder="" count="0" memberValueDatatype="20" unbalanced="0"/>
    <cacheHierarchy uniqueName="[Emp_Data].[Gross_Salary]" caption="Gross_Salary" attribute="1" defaultMemberUniqueName="[Emp_Data].[Gross_Salary].[All]" allUniqueName="[Emp_Data].[Gross_Salary].[All]" dimensionUniqueName="[Emp_Data]" displayFolder="" count="0" memberValueDatatype="20" unbalanced="0"/>
    <cacheHierarchy uniqueName="[Emp_Data].[PF]" caption="PF" attribute="1" defaultMemberUniqueName="[Emp_Data].[PF].[All]" allUniqueName="[Emp_Data].[PF].[All]" dimensionUniqueName="[Emp_Data]" displayFolder="" count="0" memberValueDatatype="20" unbalanced="0"/>
    <cacheHierarchy uniqueName="[Emp_Data].[ESI]" caption="ESI" attribute="1" defaultMemberUniqueName="[Emp_Data].[ESI].[All]" allUniqueName="[Emp_Data].[ESI].[All]" dimensionUniqueName="[Emp_Data]" displayFolder="" count="0" memberValueDatatype="20" unbalanced="0"/>
    <cacheHierarchy uniqueName="[Emp_Data].[TDS]" caption="TDS" attribute="1" defaultMemberUniqueName="[Emp_Data].[TDS].[All]" allUniqueName="[Emp_Data].[TDS].[All]" dimensionUniqueName="[Emp_Data]" displayFolder="" count="0" memberValueDatatype="20" unbalanced="0"/>
    <cacheHierarchy uniqueName="[Emp_Data].[Other_Deductions]" caption="Other_Deductions" attribute="1" defaultMemberUniqueName="[Emp_Data].[Other_Deductions].[All]" allUniqueName="[Emp_Data].[Other_Deductions].[All]" dimensionUniqueName="[Emp_Data]" displayFolder="" count="0" memberValueDatatype="20" unbalanced="0"/>
    <cacheHierarchy uniqueName="[Emp_Data].[Total_Deductions]" caption="Total_Deductions" attribute="1" defaultMemberUniqueName="[Emp_Data].[Total_Deductions].[All]" allUniqueName="[Emp_Data].[Total_Deductions].[All]" dimensionUniqueName="[Emp_Data]" displayFolder="" count="0" memberValueDatatype="20" unbalanced="0"/>
    <cacheHierarchy uniqueName="[Emp_Data].[Net_Salary]" caption="Net_Salary" attribute="1" defaultMemberUniqueName="[Emp_Data].[Net_Salary].[All]" allUniqueName="[Emp_Data].[Net_Salary].[All]" dimensionUniqueName="[Emp_Data]" displayFolder="" count="0" memberValueDatatype="20" unbalanced="0"/>
    <cacheHierarchy uniqueName="[Emp_Data].[Present_Flag]" caption="Present_Flag" attribute="1" defaultMemberUniqueName="[Emp_Data].[Present_Flag].[All]" allUniqueName="[Emp_Data].[Present_Flag].[All]" dimensionUniqueName="[Emp_Data]" displayFolder="" count="0" memberValueDatatype="20" unbalanced="0"/>
    <cacheHierarchy uniqueName="[Emp_Data].[Absent_Flag]" caption="Absent_Flag" attribute="1" defaultMemberUniqueName="[Emp_Data].[Absent_Flag].[All]" allUniqueName="[Emp_Data].[Absent_Flag].[All]" dimensionUniqueName="[Emp_Data]" displayFolder="" count="0" memberValueDatatype="20" unbalanced="0"/>
    <cacheHierarchy uniqueName="[Emp_Data].[Late_Flag]" caption="Late_Flag" attribute="1" defaultMemberUniqueName="[Emp_Data].[Late_Flag].[All]" allUniqueName="[Emp_Data].[Late_Flag].[All]" dimensionUniqueName="[Emp_Data]" displayFolder="" count="0" memberValueDatatype="20" unbalanced="0"/>
    <cacheHierarchy uniqueName="[Emp_Data].[Leave_Flag]" caption="Leave_Flag" attribute="1" defaultMemberUniqueName="[Emp_Data].[Leave_Flag].[All]" allUniqueName="[Emp_Data].[Leave_Flag].[All]" dimensionUniqueName="[Emp_Data]" displayFolder="" count="0" memberValueDatatype="20" unbalanced="0"/>
    <cacheHierarchy uniqueName="[Measures].[__XL_Count Emp_Data]" caption="__XL_Count Emp_Data" measure="1" displayFolder="" measureGroup="Emp_Data" count="0" hidden="1"/>
    <cacheHierarchy uniqueName="[Measures].[__No measures defined]" caption="__No measures defined" measure="1" displayFolder="" count="0" hidden="1"/>
    <cacheHierarchy uniqueName="[Measures].[Count of Employee_ID]" caption="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Distinct Count of Employee_ID]" caption="Distinct 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Sum of Present_Flag]" caption="Sum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Distinct Count of Present_Flag]" caption="Distinct Count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Sum of Absent_Flag]" caption="Sum of Absent_Flag" measure="1" displayFolder="" measureGroup="Emp_Data" count="0" hidden="1">
      <extLst>
        <ext xmlns:x15="http://schemas.microsoft.com/office/spreadsheetml/2010/11/main" uri="{B97F6D7D-B522-45F9-BDA1-12C45D357490}">
          <x15:cacheHierarchy aggregatedColumn="27"/>
        </ext>
      </extLst>
    </cacheHierarchy>
    <cacheHierarchy uniqueName="[Measures].[Sum of Leave_Flag]" caption="Sum of Leave_Flag" measure="1" displayFolder="" measureGroup="Emp_Data" count="0" hidden="1">
      <extLst>
        <ext xmlns:x15="http://schemas.microsoft.com/office/spreadsheetml/2010/11/main" uri="{B97F6D7D-B522-45F9-BDA1-12C45D357490}">
          <x15:cacheHierarchy aggregatedColumn="29"/>
        </ext>
      </extLst>
    </cacheHierarchy>
    <cacheHierarchy uniqueName="[Measures].[Sum of Late_Flag]" caption="Sum of Late_Flag" measure="1" displayFolder="" measureGroup="Emp_Data" count="0" hidden="1">
      <extLst>
        <ext xmlns:x15="http://schemas.microsoft.com/office/spreadsheetml/2010/11/main" uri="{B97F6D7D-B522-45F9-BDA1-12C45D357490}">
          <x15:cacheHierarchy aggregatedColumn="28"/>
        </ext>
      </extLst>
    </cacheHierarchy>
    <cacheHierarchy uniqueName="[Measures].[Sum of Gross_Salary]" caption="Sum of Gross_Salary" measure="1" displayFolder="" measureGroup="Emp_Data"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Net_Salary]" caption="Sum of Net_Salary" measure="1" displayFolder="" measureGroup="Emp_Data" count="0" hidden="1">
      <extLst>
        <ext xmlns:x15="http://schemas.microsoft.com/office/spreadsheetml/2010/11/main" uri="{B97F6D7D-B522-45F9-BDA1-12C45D357490}">
          <x15:cacheHierarchy aggregatedColumn="25"/>
        </ext>
      </extLst>
    </cacheHierarchy>
    <cacheHierarchy uniqueName="[Measures].[Sum of OT_Hours]" caption="Sum of OT_Hours" measure="1" displayFolder="" measureGroup="Emp_Data" count="0" hidden="1">
      <extLst>
        <ext xmlns:x15="http://schemas.microsoft.com/office/spreadsheetml/2010/11/main" uri="{B97F6D7D-B522-45F9-BDA1-12C45D357490}">
          <x15:cacheHierarchy aggregatedColumn="17"/>
        </ext>
      </extLst>
    </cacheHierarchy>
    <cacheHierarchy uniqueName="[Measures].[Sum of OT_Amount]" caption="Sum of OT_Amount" measure="1" displayFolder="" measureGroup="Emp_Data" count="0" hidden="1">
      <extLst>
        <ext xmlns:x15="http://schemas.microsoft.com/office/spreadsheetml/2010/11/main" uri="{B97F6D7D-B522-45F9-BDA1-12C45D357490}">
          <x15:cacheHierarchy aggregatedColumn="18"/>
        </ext>
      </extLst>
    </cacheHierarchy>
    <cacheHierarchy uniqueName="[Measures].[Count of Leave_Type]" caption="Count of Leave_Type" measure="1" displayFolder="" measureGroup="Emp_Data" count="0" hidden="1">
      <extLst>
        <ext xmlns:x15="http://schemas.microsoft.com/office/spreadsheetml/2010/11/main" uri="{B97F6D7D-B522-45F9-BDA1-12C45D357490}">
          <x15:cacheHierarchy aggregatedColumn="11"/>
        </ext>
      </extLst>
    </cacheHierarchy>
    <cacheHierarchy uniqueName="[Measures].[Sum of PF]" caption="Sum of PF" measure="1" displayFolder="" measureGroup="Emp_Data" count="0" hidden="1">
      <extLst>
        <ext xmlns:x15="http://schemas.microsoft.com/office/spreadsheetml/2010/11/main" uri="{B97F6D7D-B522-45F9-BDA1-12C45D357490}">
          <x15:cacheHierarchy aggregatedColumn="20"/>
        </ext>
      </extLst>
    </cacheHierarchy>
    <cacheHierarchy uniqueName="[Measures].[Sum of ESI]" caption="Sum of ESI" measure="1" displayFolder="" measureGroup="Emp_Data" count="0" hidden="1">
      <extLst>
        <ext xmlns:x15="http://schemas.microsoft.com/office/spreadsheetml/2010/11/main" uri="{B97F6D7D-B522-45F9-BDA1-12C45D357490}">
          <x15:cacheHierarchy aggregatedColumn="21"/>
        </ext>
      </extLst>
    </cacheHierarchy>
    <cacheHierarchy uniqueName="[Measures].[Sum of TDS]" caption="Sum of TDS" measure="1" displayFolder="" measureGroup="Emp_Data" count="0" hidden="1">
      <extLst>
        <ext xmlns:x15="http://schemas.microsoft.com/office/spreadsheetml/2010/11/main" uri="{B97F6D7D-B522-45F9-BDA1-12C45D357490}">
          <x15:cacheHierarchy aggregatedColumn="22"/>
        </ext>
      </extLst>
    </cacheHierarchy>
    <cacheHierarchy uniqueName="[Measures].[Sum of Other_Deductions]" caption="Sum of Other_Deductions" measure="1" displayFolder="" measureGroup="Emp_Data" count="0" hidden="1">
      <extLst>
        <ext xmlns:x15="http://schemas.microsoft.com/office/spreadsheetml/2010/11/main" uri="{B97F6D7D-B522-45F9-BDA1-12C45D357490}">
          <x15:cacheHierarchy aggregatedColumn="23"/>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SH JADHAV" refreshedDate="46283.277680555555" backgroundQuery="1" createdVersion="8" refreshedVersion="8" minRefreshableVersion="3" recordCount="0" supportSubquery="1" supportAdvancedDrill="1" xr:uid="{927D4A3C-E3DD-4C88-B286-8E08FE355301}">
  <cacheSource type="external" connectionId="6"/>
  <cacheFields count="2">
    <cacheField name="[Emp_Data].[Department].[Department]" caption="Department" numFmtId="0" hierarchy="3" level="1">
      <sharedItems count="5">
        <s v="Finance"/>
        <s v="HR"/>
        <s v="IT"/>
        <s v="Operations"/>
        <s v="Sales"/>
      </sharedItems>
    </cacheField>
    <cacheField name="[Measures].[Sum of Net_Salary]" caption="Sum of Net_Salary" numFmtId="0" hierarchy="40" level="32767"/>
  </cacheFields>
  <cacheHierarchies count="48">
    <cacheHierarchy uniqueName="[Emp_Data].[Date]" caption="Date" attribute="1" time="1" defaultMemberUniqueName="[Emp_Data].[Date].[All]" allUniqueName="[Emp_Data].[Date].[All]" dimensionUniqueName="[Emp_Data]" displayFolder="" count="0" memberValueDatatype="7" unbalanced="0"/>
    <cacheHierarchy uniqueName="[Emp_Data].[Employee_ID]" caption="Employee_ID" attribute="1" defaultMemberUniqueName="[Emp_Data].[Employee_ID].[All]" allUniqueName="[Emp_Data].[Employee_ID].[All]" dimensionUniqueName="[Emp_Data]" displayFolder="" count="2" memberValueDatatype="130" unbalanced="0"/>
    <cacheHierarchy uniqueName="[Emp_Data].[Employee_Name]" caption="Employee_Name" attribute="1" defaultMemberUniqueName="[Emp_Data].[Employee_Name].[All]" allUniqueName="[Emp_Data].[Employee_Name].[All]" dimensionUniqueName="[Emp_Data]" displayFolder="" count="0" memberValueDatatype="130" unbalanced="0"/>
    <cacheHierarchy uniqueName="[Emp_Data].[Department]" caption="Department" attribute="1" defaultMemberUniqueName="[Emp_Data].[Department].[All]" allUniqueName="[Emp_Data].[Department].[All]" dimensionUniqueName="[Emp_Data]" displayFolder="" count="2" memberValueDatatype="130" unbalanced="0">
      <fieldsUsage count="2">
        <fieldUsage x="-1"/>
        <fieldUsage x="0"/>
      </fieldsUsage>
    </cacheHierarchy>
    <cacheHierarchy uniqueName="[Emp_Data].[Location]" caption="Location" attribute="1" defaultMemberUniqueName="[Emp_Data].[Location].[All]" allUniqueName="[Emp_Data].[Location].[All]" dimensionUniqueName="[Emp_Data]" displayFolder="" count="0" memberValueDatatype="130" unbalanced="0"/>
    <cacheHierarchy uniqueName="[Emp_Data].[Employee_Type]" caption="Employee_Type" attribute="1" defaultMemberUniqueName="[Emp_Data].[Employee_Type].[All]" allUniqueName="[Emp_Data].[Employee_Type].[All]" dimensionUniqueName="[Emp_Data]" displayFolder="" count="2" memberValueDatatype="130" unbalanced="0"/>
    <cacheHierarchy uniqueName="[Emp_Data].[Date_of_Joining]" caption="Date_of_Joining" attribute="1" time="1" defaultMemberUniqueName="[Emp_Data].[Date_of_Joining].[All]" allUniqueName="[Emp_Data].[Date_of_Joining].[All]" dimensionUniqueName="[Emp_Data]" displayFolder="" count="0" memberValueDatatype="7" unbalanced="0"/>
    <cacheHierarchy uniqueName="[Emp_Data].[Basic_Salary]" caption="Basic_Salary" attribute="1" defaultMemberUniqueName="[Emp_Data].[Basic_Salary].[All]" allUniqueName="[Emp_Data].[Basic_Salary].[All]" dimensionUniqueName="[Emp_Data]" displayFolder="" count="0" memberValueDatatype="20" unbalanced="0"/>
    <cacheHierarchy uniqueName="[Emp_Data].[Status]" caption="Status" attribute="1" defaultMemberUniqueName="[Emp_Data].[Status].[All]" allUniqueName="[Emp_Data].[Status].[All]" dimensionUniqueName="[Emp_Data]" displayFolder="" count="0" memberValueDatatype="130" unbalanced="0"/>
    <cacheHierarchy uniqueName="[Emp_Data].[Check_In]" caption="Check_In" attribute="1" defaultMemberUniqueName="[Emp_Data].[Check_In].[All]" allUniqueName="[Emp_Data].[Check_In].[All]" dimensionUniqueName="[Emp_Data]" displayFolder="" count="0" memberValueDatatype="130" unbalanced="0"/>
    <cacheHierarchy uniqueName="[Emp_Data].[Check_Out]" caption="Check_Out" attribute="1" defaultMemberUniqueName="[Emp_Data].[Check_Out].[All]" allUniqueName="[Emp_Data].[Check_Out].[All]" dimensionUniqueName="[Emp_Data]" displayFolder="" count="0" memberValueDatatype="130" unbalanced="0"/>
    <cacheHierarchy uniqueName="[Emp_Data].[Leave_Type]" caption="Leave_Type" attribute="1" defaultMemberUniqueName="[Emp_Data].[Leave_Type].[All]" allUniqueName="[Emp_Data].[Leave_Type].[All]" dimensionUniqueName="[Emp_Data]" displayFolder="" count="0" memberValueDatatype="130" unbalanced="0"/>
    <cacheHierarchy uniqueName="[Emp_Data].[Basic_Salary.1]" caption="Basic_Salary.1" attribute="1" defaultMemberUniqueName="[Emp_Data].[Basic_Salary.1].[All]" allUniqueName="[Emp_Data].[Basic_Salary.1].[All]" dimensionUniqueName="[Emp_Data]" displayFolder="" count="0" memberValueDatatype="20" unbalanced="0"/>
    <cacheHierarchy uniqueName="[Emp_Data].[HRA]" caption="HRA" attribute="1" defaultMemberUniqueName="[Emp_Data].[HRA].[All]" allUniqueName="[Emp_Data].[HRA].[All]" dimensionUniqueName="[Emp_Data]" displayFolder="" count="0" memberValueDatatype="20" unbalanced="0"/>
    <cacheHierarchy uniqueName="[Emp_Data].[Conveyance]" caption="Conveyance" attribute="1" defaultMemberUniqueName="[Emp_Data].[Conveyance].[All]" allUniqueName="[Emp_Data].[Conveyance].[All]" dimensionUniqueName="[Emp_Data]" displayFolder="" count="0" memberValueDatatype="20" unbalanced="0"/>
    <cacheHierarchy uniqueName="[Emp_Data].[Medical_Allowance]" caption="Medical_Allowance" attribute="1" defaultMemberUniqueName="[Emp_Data].[Medical_Allowance].[All]" allUniqueName="[Emp_Data].[Medical_Allowance].[All]" dimensionUniqueName="[Emp_Data]" displayFolder="" count="0" memberValueDatatype="20" unbalanced="0"/>
    <cacheHierarchy uniqueName="[Emp_Data].[Special_Allowance]" caption="Special_Allowance" attribute="1" defaultMemberUniqueName="[Emp_Data].[Special_Allowance].[All]" allUniqueName="[Emp_Data].[Special_Allowance].[All]" dimensionUniqueName="[Emp_Data]" displayFolder="" count="0" memberValueDatatype="20" unbalanced="0"/>
    <cacheHierarchy uniqueName="[Emp_Data].[OT_Hours]" caption="OT_Hours" attribute="1" defaultMemberUniqueName="[Emp_Data].[OT_Hours].[All]" allUniqueName="[Emp_Data].[OT_Hours].[All]" dimensionUniqueName="[Emp_Data]" displayFolder="" count="0" memberValueDatatype="20" unbalanced="0"/>
    <cacheHierarchy uniqueName="[Emp_Data].[OT_Amount]" caption="OT_Amount" attribute="1" defaultMemberUniqueName="[Emp_Data].[OT_Amount].[All]" allUniqueName="[Emp_Data].[OT_Amount].[All]" dimensionUniqueName="[Emp_Data]" displayFolder="" count="0" memberValueDatatype="20" unbalanced="0"/>
    <cacheHierarchy uniqueName="[Emp_Data].[Gross_Salary]" caption="Gross_Salary" attribute="1" defaultMemberUniqueName="[Emp_Data].[Gross_Salary].[All]" allUniqueName="[Emp_Data].[Gross_Salary].[All]" dimensionUniqueName="[Emp_Data]" displayFolder="" count="0" memberValueDatatype="20" unbalanced="0"/>
    <cacheHierarchy uniqueName="[Emp_Data].[PF]" caption="PF" attribute="1" defaultMemberUniqueName="[Emp_Data].[PF].[All]" allUniqueName="[Emp_Data].[PF].[All]" dimensionUniqueName="[Emp_Data]" displayFolder="" count="0" memberValueDatatype="20" unbalanced="0"/>
    <cacheHierarchy uniqueName="[Emp_Data].[ESI]" caption="ESI" attribute="1" defaultMemberUniqueName="[Emp_Data].[ESI].[All]" allUniqueName="[Emp_Data].[ESI].[All]" dimensionUniqueName="[Emp_Data]" displayFolder="" count="0" memberValueDatatype="20" unbalanced="0"/>
    <cacheHierarchy uniqueName="[Emp_Data].[TDS]" caption="TDS" attribute="1" defaultMemberUniqueName="[Emp_Data].[TDS].[All]" allUniqueName="[Emp_Data].[TDS].[All]" dimensionUniqueName="[Emp_Data]" displayFolder="" count="0" memberValueDatatype="20" unbalanced="0"/>
    <cacheHierarchy uniqueName="[Emp_Data].[Other_Deductions]" caption="Other_Deductions" attribute="1" defaultMemberUniqueName="[Emp_Data].[Other_Deductions].[All]" allUniqueName="[Emp_Data].[Other_Deductions].[All]" dimensionUniqueName="[Emp_Data]" displayFolder="" count="0" memberValueDatatype="20" unbalanced="0"/>
    <cacheHierarchy uniqueName="[Emp_Data].[Total_Deductions]" caption="Total_Deductions" attribute="1" defaultMemberUniqueName="[Emp_Data].[Total_Deductions].[All]" allUniqueName="[Emp_Data].[Total_Deductions].[All]" dimensionUniqueName="[Emp_Data]" displayFolder="" count="0" memberValueDatatype="20" unbalanced="0"/>
    <cacheHierarchy uniqueName="[Emp_Data].[Net_Salary]" caption="Net_Salary" attribute="1" defaultMemberUniqueName="[Emp_Data].[Net_Salary].[All]" allUniqueName="[Emp_Data].[Net_Salary].[All]" dimensionUniqueName="[Emp_Data]" displayFolder="" count="0" memberValueDatatype="20" unbalanced="0"/>
    <cacheHierarchy uniqueName="[Emp_Data].[Present_Flag]" caption="Present_Flag" attribute="1" defaultMemberUniqueName="[Emp_Data].[Present_Flag].[All]" allUniqueName="[Emp_Data].[Present_Flag].[All]" dimensionUniqueName="[Emp_Data]" displayFolder="" count="0" memberValueDatatype="20" unbalanced="0"/>
    <cacheHierarchy uniqueName="[Emp_Data].[Absent_Flag]" caption="Absent_Flag" attribute="1" defaultMemberUniqueName="[Emp_Data].[Absent_Flag].[All]" allUniqueName="[Emp_Data].[Absent_Flag].[All]" dimensionUniqueName="[Emp_Data]" displayFolder="" count="0" memberValueDatatype="20" unbalanced="0"/>
    <cacheHierarchy uniqueName="[Emp_Data].[Late_Flag]" caption="Late_Flag" attribute="1" defaultMemberUniqueName="[Emp_Data].[Late_Flag].[All]" allUniqueName="[Emp_Data].[Late_Flag].[All]" dimensionUniqueName="[Emp_Data]" displayFolder="" count="0" memberValueDatatype="20" unbalanced="0"/>
    <cacheHierarchy uniqueName="[Emp_Data].[Leave_Flag]" caption="Leave_Flag" attribute="1" defaultMemberUniqueName="[Emp_Data].[Leave_Flag].[All]" allUniqueName="[Emp_Data].[Leave_Flag].[All]" dimensionUniqueName="[Emp_Data]" displayFolder="" count="0" memberValueDatatype="20" unbalanced="0"/>
    <cacheHierarchy uniqueName="[Measures].[__XL_Count Emp_Data]" caption="__XL_Count Emp_Data" measure="1" displayFolder="" measureGroup="Emp_Data" count="0" hidden="1"/>
    <cacheHierarchy uniqueName="[Measures].[__No measures defined]" caption="__No measures defined" measure="1" displayFolder="" count="0" hidden="1"/>
    <cacheHierarchy uniqueName="[Measures].[Count of Employee_ID]" caption="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Distinct Count of Employee_ID]" caption="Distinct 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Sum of Present_Flag]" caption="Sum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Distinct Count of Present_Flag]" caption="Distinct Count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Sum of Absent_Flag]" caption="Sum of Absent_Flag" measure="1" displayFolder="" measureGroup="Emp_Data" count="0" hidden="1">
      <extLst>
        <ext xmlns:x15="http://schemas.microsoft.com/office/spreadsheetml/2010/11/main" uri="{B97F6D7D-B522-45F9-BDA1-12C45D357490}">
          <x15:cacheHierarchy aggregatedColumn="27"/>
        </ext>
      </extLst>
    </cacheHierarchy>
    <cacheHierarchy uniqueName="[Measures].[Sum of Leave_Flag]" caption="Sum of Leave_Flag" measure="1" displayFolder="" measureGroup="Emp_Data" count="0" hidden="1">
      <extLst>
        <ext xmlns:x15="http://schemas.microsoft.com/office/spreadsheetml/2010/11/main" uri="{B97F6D7D-B522-45F9-BDA1-12C45D357490}">
          <x15:cacheHierarchy aggregatedColumn="29"/>
        </ext>
      </extLst>
    </cacheHierarchy>
    <cacheHierarchy uniqueName="[Measures].[Sum of Late_Flag]" caption="Sum of Late_Flag" measure="1" displayFolder="" measureGroup="Emp_Data" count="0" hidden="1">
      <extLst>
        <ext xmlns:x15="http://schemas.microsoft.com/office/spreadsheetml/2010/11/main" uri="{B97F6D7D-B522-45F9-BDA1-12C45D357490}">
          <x15:cacheHierarchy aggregatedColumn="28"/>
        </ext>
      </extLst>
    </cacheHierarchy>
    <cacheHierarchy uniqueName="[Measures].[Sum of Gross_Salary]" caption="Sum of Gross_Salary" measure="1" displayFolder="" measureGroup="Emp_Data" count="0" hidden="1">
      <extLst>
        <ext xmlns:x15="http://schemas.microsoft.com/office/spreadsheetml/2010/11/main" uri="{B97F6D7D-B522-45F9-BDA1-12C45D357490}">
          <x15:cacheHierarchy aggregatedColumn="19"/>
        </ext>
      </extLst>
    </cacheHierarchy>
    <cacheHierarchy uniqueName="[Measures].[Sum of Net_Salary]" caption="Sum of Net_Salary" measure="1" displayFolder="" measureGroup="Emp_Data"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OT_Hours]" caption="Sum of OT_Hours" measure="1" displayFolder="" measureGroup="Emp_Data" count="0" hidden="1">
      <extLst>
        <ext xmlns:x15="http://schemas.microsoft.com/office/spreadsheetml/2010/11/main" uri="{B97F6D7D-B522-45F9-BDA1-12C45D357490}">
          <x15:cacheHierarchy aggregatedColumn="17"/>
        </ext>
      </extLst>
    </cacheHierarchy>
    <cacheHierarchy uniqueName="[Measures].[Sum of OT_Amount]" caption="Sum of OT_Amount" measure="1" displayFolder="" measureGroup="Emp_Data" count="0" hidden="1">
      <extLst>
        <ext xmlns:x15="http://schemas.microsoft.com/office/spreadsheetml/2010/11/main" uri="{B97F6D7D-B522-45F9-BDA1-12C45D357490}">
          <x15:cacheHierarchy aggregatedColumn="18"/>
        </ext>
      </extLst>
    </cacheHierarchy>
    <cacheHierarchy uniqueName="[Measures].[Count of Leave_Type]" caption="Count of Leave_Type" measure="1" displayFolder="" measureGroup="Emp_Data" count="0" hidden="1">
      <extLst>
        <ext xmlns:x15="http://schemas.microsoft.com/office/spreadsheetml/2010/11/main" uri="{B97F6D7D-B522-45F9-BDA1-12C45D357490}">
          <x15:cacheHierarchy aggregatedColumn="11"/>
        </ext>
      </extLst>
    </cacheHierarchy>
    <cacheHierarchy uniqueName="[Measures].[Sum of PF]" caption="Sum of PF" measure="1" displayFolder="" measureGroup="Emp_Data" count="0" hidden="1">
      <extLst>
        <ext xmlns:x15="http://schemas.microsoft.com/office/spreadsheetml/2010/11/main" uri="{B97F6D7D-B522-45F9-BDA1-12C45D357490}">
          <x15:cacheHierarchy aggregatedColumn="20"/>
        </ext>
      </extLst>
    </cacheHierarchy>
    <cacheHierarchy uniqueName="[Measures].[Sum of ESI]" caption="Sum of ESI" measure="1" displayFolder="" measureGroup="Emp_Data" count="0" hidden="1">
      <extLst>
        <ext xmlns:x15="http://schemas.microsoft.com/office/spreadsheetml/2010/11/main" uri="{B97F6D7D-B522-45F9-BDA1-12C45D357490}">
          <x15:cacheHierarchy aggregatedColumn="21"/>
        </ext>
      </extLst>
    </cacheHierarchy>
    <cacheHierarchy uniqueName="[Measures].[Sum of TDS]" caption="Sum of TDS" measure="1" displayFolder="" measureGroup="Emp_Data" count="0" hidden="1">
      <extLst>
        <ext xmlns:x15="http://schemas.microsoft.com/office/spreadsheetml/2010/11/main" uri="{B97F6D7D-B522-45F9-BDA1-12C45D357490}">
          <x15:cacheHierarchy aggregatedColumn="22"/>
        </ext>
      </extLst>
    </cacheHierarchy>
    <cacheHierarchy uniqueName="[Measures].[Sum of Other_Deductions]" caption="Sum of Other_Deductions" measure="1" displayFolder="" measureGroup="Emp_Data" count="0" hidden="1">
      <extLst>
        <ext xmlns:x15="http://schemas.microsoft.com/office/spreadsheetml/2010/11/main" uri="{B97F6D7D-B522-45F9-BDA1-12C45D357490}">
          <x15:cacheHierarchy aggregatedColumn="23"/>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SH JADHAV" refreshedDate="46283.277681712963" backgroundQuery="1" createdVersion="8" refreshedVersion="8" minRefreshableVersion="3" recordCount="0" supportSubquery="1" supportAdvancedDrill="1" xr:uid="{8BFF6B2D-E5E2-4CFC-80A0-84855BBDFB9D}">
  <cacheSource type="external" connectionId="6"/>
  <cacheFields count="3">
    <cacheField name="[Emp_Data].[Department].[Department]" caption="Department" numFmtId="0" hierarchy="3" level="1">
      <sharedItems count="5">
        <s v="Finance"/>
        <s v="HR"/>
        <s v="IT"/>
        <s v="Operations"/>
        <s v="Sales"/>
      </sharedItems>
    </cacheField>
    <cacheField name="[Measures].[Sum of OT_Amount]" caption="Sum of OT_Amount" numFmtId="0" hierarchy="42" level="32767"/>
    <cacheField name="[Measures].[Sum of OT_Hours]" caption="Sum of OT_Hours" numFmtId="0" hierarchy="41" level="32767"/>
  </cacheFields>
  <cacheHierarchies count="48">
    <cacheHierarchy uniqueName="[Emp_Data].[Date]" caption="Date" attribute="1" time="1" defaultMemberUniqueName="[Emp_Data].[Date].[All]" allUniqueName="[Emp_Data].[Date].[All]" dimensionUniqueName="[Emp_Data]" displayFolder="" count="0" memberValueDatatype="7" unbalanced="0"/>
    <cacheHierarchy uniqueName="[Emp_Data].[Employee_ID]" caption="Employee_ID" attribute="1" defaultMemberUniqueName="[Emp_Data].[Employee_ID].[All]" allUniqueName="[Emp_Data].[Employee_ID].[All]" dimensionUniqueName="[Emp_Data]" displayFolder="" count="2" memberValueDatatype="130" unbalanced="0"/>
    <cacheHierarchy uniqueName="[Emp_Data].[Employee_Name]" caption="Employee_Name" attribute="1" defaultMemberUniqueName="[Emp_Data].[Employee_Name].[All]" allUniqueName="[Emp_Data].[Employee_Name].[All]" dimensionUniqueName="[Emp_Data]" displayFolder="" count="0" memberValueDatatype="130" unbalanced="0"/>
    <cacheHierarchy uniqueName="[Emp_Data].[Department]" caption="Department" attribute="1" defaultMemberUniqueName="[Emp_Data].[Department].[All]" allUniqueName="[Emp_Data].[Department].[All]" dimensionUniqueName="[Emp_Data]" displayFolder="" count="2" memberValueDatatype="130" unbalanced="0">
      <fieldsUsage count="2">
        <fieldUsage x="-1"/>
        <fieldUsage x="0"/>
      </fieldsUsage>
    </cacheHierarchy>
    <cacheHierarchy uniqueName="[Emp_Data].[Location]" caption="Location" attribute="1" defaultMemberUniqueName="[Emp_Data].[Location].[All]" allUniqueName="[Emp_Data].[Location].[All]" dimensionUniqueName="[Emp_Data]" displayFolder="" count="0" memberValueDatatype="130" unbalanced="0"/>
    <cacheHierarchy uniqueName="[Emp_Data].[Employee_Type]" caption="Employee_Type" attribute="1" defaultMemberUniqueName="[Emp_Data].[Employee_Type].[All]" allUniqueName="[Emp_Data].[Employee_Type].[All]" dimensionUniqueName="[Emp_Data]" displayFolder="" count="2" memberValueDatatype="130" unbalanced="0"/>
    <cacheHierarchy uniqueName="[Emp_Data].[Date_of_Joining]" caption="Date_of_Joining" attribute="1" time="1" defaultMemberUniqueName="[Emp_Data].[Date_of_Joining].[All]" allUniqueName="[Emp_Data].[Date_of_Joining].[All]" dimensionUniqueName="[Emp_Data]" displayFolder="" count="0" memberValueDatatype="7" unbalanced="0"/>
    <cacheHierarchy uniqueName="[Emp_Data].[Basic_Salary]" caption="Basic_Salary" attribute="1" defaultMemberUniqueName="[Emp_Data].[Basic_Salary].[All]" allUniqueName="[Emp_Data].[Basic_Salary].[All]" dimensionUniqueName="[Emp_Data]" displayFolder="" count="0" memberValueDatatype="20" unbalanced="0"/>
    <cacheHierarchy uniqueName="[Emp_Data].[Status]" caption="Status" attribute="1" defaultMemberUniqueName="[Emp_Data].[Status].[All]" allUniqueName="[Emp_Data].[Status].[All]" dimensionUniqueName="[Emp_Data]" displayFolder="" count="0" memberValueDatatype="130" unbalanced="0"/>
    <cacheHierarchy uniqueName="[Emp_Data].[Check_In]" caption="Check_In" attribute="1" defaultMemberUniqueName="[Emp_Data].[Check_In].[All]" allUniqueName="[Emp_Data].[Check_In].[All]" dimensionUniqueName="[Emp_Data]" displayFolder="" count="0" memberValueDatatype="130" unbalanced="0"/>
    <cacheHierarchy uniqueName="[Emp_Data].[Check_Out]" caption="Check_Out" attribute="1" defaultMemberUniqueName="[Emp_Data].[Check_Out].[All]" allUniqueName="[Emp_Data].[Check_Out].[All]" dimensionUniqueName="[Emp_Data]" displayFolder="" count="0" memberValueDatatype="130" unbalanced="0"/>
    <cacheHierarchy uniqueName="[Emp_Data].[Leave_Type]" caption="Leave_Type" attribute="1" defaultMemberUniqueName="[Emp_Data].[Leave_Type].[All]" allUniqueName="[Emp_Data].[Leave_Type].[All]" dimensionUniqueName="[Emp_Data]" displayFolder="" count="0" memberValueDatatype="130" unbalanced="0"/>
    <cacheHierarchy uniqueName="[Emp_Data].[Basic_Salary.1]" caption="Basic_Salary.1" attribute="1" defaultMemberUniqueName="[Emp_Data].[Basic_Salary.1].[All]" allUniqueName="[Emp_Data].[Basic_Salary.1].[All]" dimensionUniqueName="[Emp_Data]" displayFolder="" count="0" memberValueDatatype="20" unbalanced="0"/>
    <cacheHierarchy uniqueName="[Emp_Data].[HRA]" caption="HRA" attribute="1" defaultMemberUniqueName="[Emp_Data].[HRA].[All]" allUniqueName="[Emp_Data].[HRA].[All]" dimensionUniqueName="[Emp_Data]" displayFolder="" count="0" memberValueDatatype="20" unbalanced="0"/>
    <cacheHierarchy uniqueName="[Emp_Data].[Conveyance]" caption="Conveyance" attribute="1" defaultMemberUniqueName="[Emp_Data].[Conveyance].[All]" allUniqueName="[Emp_Data].[Conveyance].[All]" dimensionUniqueName="[Emp_Data]" displayFolder="" count="0" memberValueDatatype="20" unbalanced="0"/>
    <cacheHierarchy uniqueName="[Emp_Data].[Medical_Allowance]" caption="Medical_Allowance" attribute="1" defaultMemberUniqueName="[Emp_Data].[Medical_Allowance].[All]" allUniqueName="[Emp_Data].[Medical_Allowance].[All]" dimensionUniqueName="[Emp_Data]" displayFolder="" count="0" memberValueDatatype="20" unbalanced="0"/>
    <cacheHierarchy uniqueName="[Emp_Data].[Special_Allowance]" caption="Special_Allowance" attribute="1" defaultMemberUniqueName="[Emp_Data].[Special_Allowance].[All]" allUniqueName="[Emp_Data].[Special_Allowance].[All]" dimensionUniqueName="[Emp_Data]" displayFolder="" count="0" memberValueDatatype="20" unbalanced="0"/>
    <cacheHierarchy uniqueName="[Emp_Data].[OT_Hours]" caption="OT_Hours" attribute="1" defaultMemberUniqueName="[Emp_Data].[OT_Hours].[All]" allUniqueName="[Emp_Data].[OT_Hours].[All]" dimensionUniqueName="[Emp_Data]" displayFolder="" count="0" memberValueDatatype="20" unbalanced="0"/>
    <cacheHierarchy uniqueName="[Emp_Data].[OT_Amount]" caption="OT_Amount" attribute="1" defaultMemberUniqueName="[Emp_Data].[OT_Amount].[All]" allUniqueName="[Emp_Data].[OT_Amount].[All]" dimensionUniqueName="[Emp_Data]" displayFolder="" count="0" memberValueDatatype="20" unbalanced="0"/>
    <cacheHierarchy uniqueName="[Emp_Data].[Gross_Salary]" caption="Gross_Salary" attribute="1" defaultMemberUniqueName="[Emp_Data].[Gross_Salary].[All]" allUniqueName="[Emp_Data].[Gross_Salary].[All]" dimensionUniqueName="[Emp_Data]" displayFolder="" count="0" memberValueDatatype="20" unbalanced="0"/>
    <cacheHierarchy uniqueName="[Emp_Data].[PF]" caption="PF" attribute="1" defaultMemberUniqueName="[Emp_Data].[PF].[All]" allUniqueName="[Emp_Data].[PF].[All]" dimensionUniqueName="[Emp_Data]" displayFolder="" count="0" memberValueDatatype="20" unbalanced="0"/>
    <cacheHierarchy uniqueName="[Emp_Data].[ESI]" caption="ESI" attribute="1" defaultMemberUniqueName="[Emp_Data].[ESI].[All]" allUniqueName="[Emp_Data].[ESI].[All]" dimensionUniqueName="[Emp_Data]" displayFolder="" count="0" memberValueDatatype="20" unbalanced="0"/>
    <cacheHierarchy uniqueName="[Emp_Data].[TDS]" caption="TDS" attribute="1" defaultMemberUniqueName="[Emp_Data].[TDS].[All]" allUniqueName="[Emp_Data].[TDS].[All]" dimensionUniqueName="[Emp_Data]" displayFolder="" count="0" memberValueDatatype="20" unbalanced="0"/>
    <cacheHierarchy uniqueName="[Emp_Data].[Other_Deductions]" caption="Other_Deductions" attribute="1" defaultMemberUniqueName="[Emp_Data].[Other_Deductions].[All]" allUniqueName="[Emp_Data].[Other_Deductions].[All]" dimensionUniqueName="[Emp_Data]" displayFolder="" count="0" memberValueDatatype="20" unbalanced="0"/>
    <cacheHierarchy uniqueName="[Emp_Data].[Total_Deductions]" caption="Total_Deductions" attribute="1" defaultMemberUniqueName="[Emp_Data].[Total_Deductions].[All]" allUniqueName="[Emp_Data].[Total_Deductions].[All]" dimensionUniqueName="[Emp_Data]" displayFolder="" count="0" memberValueDatatype="20" unbalanced="0"/>
    <cacheHierarchy uniqueName="[Emp_Data].[Net_Salary]" caption="Net_Salary" attribute="1" defaultMemberUniqueName="[Emp_Data].[Net_Salary].[All]" allUniqueName="[Emp_Data].[Net_Salary].[All]" dimensionUniqueName="[Emp_Data]" displayFolder="" count="0" memberValueDatatype="20" unbalanced="0"/>
    <cacheHierarchy uniqueName="[Emp_Data].[Present_Flag]" caption="Present_Flag" attribute="1" defaultMemberUniqueName="[Emp_Data].[Present_Flag].[All]" allUniqueName="[Emp_Data].[Present_Flag].[All]" dimensionUniqueName="[Emp_Data]" displayFolder="" count="0" memberValueDatatype="20" unbalanced="0"/>
    <cacheHierarchy uniqueName="[Emp_Data].[Absent_Flag]" caption="Absent_Flag" attribute="1" defaultMemberUniqueName="[Emp_Data].[Absent_Flag].[All]" allUniqueName="[Emp_Data].[Absent_Flag].[All]" dimensionUniqueName="[Emp_Data]" displayFolder="" count="0" memberValueDatatype="20" unbalanced="0"/>
    <cacheHierarchy uniqueName="[Emp_Data].[Late_Flag]" caption="Late_Flag" attribute="1" defaultMemberUniqueName="[Emp_Data].[Late_Flag].[All]" allUniqueName="[Emp_Data].[Late_Flag].[All]" dimensionUniqueName="[Emp_Data]" displayFolder="" count="0" memberValueDatatype="20" unbalanced="0"/>
    <cacheHierarchy uniqueName="[Emp_Data].[Leave_Flag]" caption="Leave_Flag" attribute="1" defaultMemberUniqueName="[Emp_Data].[Leave_Flag].[All]" allUniqueName="[Emp_Data].[Leave_Flag].[All]" dimensionUniqueName="[Emp_Data]" displayFolder="" count="0" memberValueDatatype="20" unbalanced="0"/>
    <cacheHierarchy uniqueName="[Measures].[__XL_Count Emp_Data]" caption="__XL_Count Emp_Data" measure="1" displayFolder="" measureGroup="Emp_Data" count="0" hidden="1"/>
    <cacheHierarchy uniqueName="[Measures].[__No measures defined]" caption="__No measures defined" measure="1" displayFolder="" count="0" hidden="1"/>
    <cacheHierarchy uniqueName="[Measures].[Count of Employee_ID]" caption="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Distinct Count of Employee_ID]" caption="Distinct 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Sum of Present_Flag]" caption="Sum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Distinct Count of Present_Flag]" caption="Distinct Count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Sum of Absent_Flag]" caption="Sum of Absent_Flag" measure="1" displayFolder="" measureGroup="Emp_Data" count="0" hidden="1">
      <extLst>
        <ext xmlns:x15="http://schemas.microsoft.com/office/spreadsheetml/2010/11/main" uri="{B97F6D7D-B522-45F9-BDA1-12C45D357490}">
          <x15:cacheHierarchy aggregatedColumn="27"/>
        </ext>
      </extLst>
    </cacheHierarchy>
    <cacheHierarchy uniqueName="[Measures].[Sum of Leave_Flag]" caption="Sum of Leave_Flag" measure="1" displayFolder="" measureGroup="Emp_Data" count="0" hidden="1">
      <extLst>
        <ext xmlns:x15="http://schemas.microsoft.com/office/spreadsheetml/2010/11/main" uri="{B97F6D7D-B522-45F9-BDA1-12C45D357490}">
          <x15:cacheHierarchy aggregatedColumn="29"/>
        </ext>
      </extLst>
    </cacheHierarchy>
    <cacheHierarchy uniqueName="[Measures].[Sum of Late_Flag]" caption="Sum of Late_Flag" measure="1" displayFolder="" measureGroup="Emp_Data" count="0" hidden="1">
      <extLst>
        <ext xmlns:x15="http://schemas.microsoft.com/office/spreadsheetml/2010/11/main" uri="{B97F6D7D-B522-45F9-BDA1-12C45D357490}">
          <x15:cacheHierarchy aggregatedColumn="28"/>
        </ext>
      </extLst>
    </cacheHierarchy>
    <cacheHierarchy uniqueName="[Measures].[Sum of Gross_Salary]" caption="Sum of Gross_Salary" measure="1" displayFolder="" measureGroup="Emp_Data" count="0" hidden="1">
      <extLst>
        <ext xmlns:x15="http://schemas.microsoft.com/office/spreadsheetml/2010/11/main" uri="{B97F6D7D-B522-45F9-BDA1-12C45D357490}">
          <x15:cacheHierarchy aggregatedColumn="19"/>
        </ext>
      </extLst>
    </cacheHierarchy>
    <cacheHierarchy uniqueName="[Measures].[Sum of Net_Salary]" caption="Sum of Net_Salary" measure="1" displayFolder="" measureGroup="Emp_Data" count="0" hidden="1">
      <extLst>
        <ext xmlns:x15="http://schemas.microsoft.com/office/spreadsheetml/2010/11/main" uri="{B97F6D7D-B522-45F9-BDA1-12C45D357490}">
          <x15:cacheHierarchy aggregatedColumn="25"/>
        </ext>
      </extLst>
    </cacheHierarchy>
    <cacheHierarchy uniqueName="[Measures].[Sum of OT_Hours]" caption="Sum of OT_Hours" measure="1" displayFolder="" measureGroup="Emp_Data"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OT_Amount]" caption="Sum of OT_Amount" measure="1" displayFolder="" measureGroup="Emp_Data"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Leave_Type]" caption="Count of Leave_Type" measure="1" displayFolder="" measureGroup="Emp_Data" count="0" hidden="1">
      <extLst>
        <ext xmlns:x15="http://schemas.microsoft.com/office/spreadsheetml/2010/11/main" uri="{B97F6D7D-B522-45F9-BDA1-12C45D357490}">
          <x15:cacheHierarchy aggregatedColumn="11"/>
        </ext>
      </extLst>
    </cacheHierarchy>
    <cacheHierarchy uniqueName="[Measures].[Sum of PF]" caption="Sum of PF" measure="1" displayFolder="" measureGroup="Emp_Data" count="0" hidden="1">
      <extLst>
        <ext xmlns:x15="http://schemas.microsoft.com/office/spreadsheetml/2010/11/main" uri="{B97F6D7D-B522-45F9-BDA1-12C45D357490}">
          <x15:cacheHierarchy aggregatedColumn="20"/>
        </ext>
      </extLst>
    </cacheHierarchy>
    <cacheHierarchy uniqueName="[Measures].[Sum of ESI]" caption="Sum of ESI" measure="1" displayFolder="" measureGroup="Emp_Data" count="0" hidden="1">
      <extLst>
        <ext xmlns:x15="http://schemas.microsoft.com/office/spreadsheetml/2010/11/main" uri="{B97F6D7D-B522-45F9-BDA1-12C45D357490}">
          <x15:cacheHierarchy aggregatedColumn="21"/>
        </ext>
      </extLst>
    </cacheHierarchy>
    <cacheHierarchy uniqueName="[Measures].[Sum of TDS]" caption="Sum of TDS" measure="1" displayFolder="" measureGroup="Emp_Data" count="0" hidden="1">
      <extLst>
        <ext xmlns:x15="http://schemas.microsoft.com/office/spreadsheetml/2010/11/main" uri="{B97F6D7D-B522-45F9-BDA1-12C45D357490}">
          <x15:cacheHierarchy aggregatedColumn="22"/>
        </ext>
      </extLst>
    </cacheHierarchy>
    <cacheHierarchy uniqueName="[Measures].[Sum of Other_Deductions]" caption="Sum of Other_Deductions" measure="1" displayFolder="" measureGroup="Emp_Data" count="0" hidden="1">
      <extLst>
        <ext xmlns:x15="http://schemas.microsoft.com/office/spreadsheetml/2010/11/main" uri="{B97F6D7D-B522-45F9-BDA1-12C45D357490}">
          <x15:cacheHierarchy aggregatedColumn="23"/>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SH JADHAV" refreshedDate="46283.277682870372" backgroundQuery="1" createdVersion="8" refreshedVersion="8" minRefreshableVersion="3" recordCount="0" supportSubquery="1" supportAdvancedDrill="1" xr:uid="{E0979B0B-B145-4ACF-A466-B44FA1900B7E}">
  <cacheSource type="external" connectionId="6"/>
  <cacheFields count="2">
    <cacheField name="[Emp_Data].[Department].[Department]" caption="Department" numFmtId="0" hierarchy="3" level="1">
      <sharedItems count="5">
        <s v="Finance"/>
        <s v="HR"/>
        <s v="IT"/>
        <s v="Operations"/>
        <s v="Sales"/>
      </sharedItems>
    </cacheField>
    <cacheField name="[Measures].[Distinct Count of Employee_ID]" caption="Distinct Count of Employee_ID" numFmtId="0" hierarchy="33" level="32767"/>
  </cacheFields>
  <cacheHierarchies count="48">
    <cacheHierarchy uniqueName="[Emp_Data].[Date]" caption="Date" attribute="1" time="1" defaultMemberUniqueName="[Emp_Data].[Date].[All]" allUniqueName="[Emp_Data].[Date].[All]" dimensionUniqueName="[Emp_Data]" displayFolder="" count="0" memberValueDatatype="7" unbalanced="0"/>
    <cacheHierarchy uniqueName="[Emp_Data].[Employee_ID]" caption="Employee_ID" attribute="1" defaultMemberUniqueName="[Emp_Data].[Employee_ID].[All]" allUniqueName="[Emp_Data].[Employee_ID].[All]" dimensionUniqueName="[Emp_Data]" displayFolder="" count="2" memberValueDatatype="130" unbalanced="0"/>
    <cacheHierarchy uniqueName="[Emp_Data].[Employee_Name]" caption="Employee_Name" attribute="1" defaultMemberUniqueName="[Emp_Data].[Employee_Name].[All]" allUniqueName="[Emp_Data].[Employee_Name].[All]" dimensionUniqueName="[Emp_Data]" displayFolder="" count="0" memberValueDatatype="130" unbalanced="0"/>
    <cacheHierarchy uniqueName="[Emp_Data].[Department]" caption="Department" attribute="1" defaultMemberUniqueName="[Emp_Data].[Department].[All]" allUniqueName="[Emp_Data].[Department].[All]" dimensionUniqueName="[Emp_Data]" displayFolder="" count="2" memberValueDatatype="130" unbalanced="0">
      <fieldsUsage count="2">
        <fieldUsage x="-1"/>
        <fieldUsage x="0"/>
      </fieldsUsage>
    </cacheHierarchy>
    <cacheHierarchy uniqueName="[Emp_Data].[Location]" caption="Location" attribute="1" defaultMemberUniqueName="[Emp_Data].[Location].[All]" allUniqueName="[Emp_Data].[Location].[All]" dimensionUniqueName="[Emp_Data]" displayFolder="" count="2" memberValueDatatype="130" unbalanced="0"/>
    <cacheHierarchy uniqueName="[Emp_Data].[Employee_Type]" caption="Employee_Type" attribute="1" defaultMemberUniqueName="[Emp_Data].[Employee_Type].[All]" allUniqueName="[Emp_Data].[Employee_Type].[All]" dimensionUniqueName="[Emp_Data]" displayFolder="" count="2" memberValueDatatype="130" unbalanced="0"/>
    <cacheHierarchy uniqueName="[Emp_Data].[Date_of_Joining]" caption="Date_of_Joining" attribute="1" time="1" defaultMemberUniqueName="[Emp_Data].[Date_of_Joining].[All]" allUniqueName="[Emp_Data].[Date_of_Joining].[All]" dimensionUniqueName="[Emp_Data]" displayFolder="" count="0" memberValueDatatype="7" unbalanced="0"/>
    <cacheHierarchy uniqueName="[Emp_Data].[Basic_Salary]" caption="Basic_Salary" attribute="1" defaultMemberUniqueName="[Emp_Data].[Basic_Salary].[All]" allUniqueName="[Emp_Data].[Basic_Salary].[All]" dimensionUniqueName="[Emp_Data]" displayFolder="" count="0" memberValueDatatype="20" unbalanced="0"/>
    <cacheHierarchy uniqueName="[Emp_Data].[Status]" caption="Status" attribute="1" defaultMemberUniqueName="[Emp_Data].[Status].[All]" allUniqueName="[Emp_Data].[Status].[All]" dimensionUniqueName="[Emp_Data]" displayFolder="" count="0" memberValueDatatype="130" unbalanced="0"/>
    <cacheHierarchy uniqueName="[Emp_Data].[Check_In]" caption="Check_In" attribute="1" defaultMemberUniqueName="[Emp_Data].[Check_In].[All]" allUniqueName="[Emp_Data].[Check_In].[All]" dimensionUniqueName="[Emp_Data]" displayFolder="" count="0" memberValueDatatype="130" unbalanced="0"/>
    <cacheHierarchy uniqueName="[Emp_Data].[Check_Out]" caption="Check_Out" attribute="1" defaultMemberUniqueName="[Emp_Data].[Check_Out].[All]" allUniqueName="[Emp_Data].[Check_Out].[All]" dimensionUniqueName="[Emp_Data]" displayFolder="" count="0" memberValueDatatype="130" unbalanced="0"/>
    <cacheHierarchy uniqueName="[Emp_Data].[Leave_Type]" caption="Leave_Type" attribute="1" defaultMemberUniqueName="[Emp_Data].[Leave_Type].[All]" allUniqueName="[Emp_Data].[Leave_Type].[All]" dimensionUniqueName="[Emp_Data]" displayFolder="" count="0" memberValueDatatype="130" unbalanced="0"/>
    <cacheHierarchy uniqueName="[Emp_Data].[Basic_Salary.1]" caption="Basic_Salary.1" attribute="1" defaultMemberUniqueName="[Emp_Data].[Basic_Salary.1].[All]" allUniqueName="[Emp_Data].[Basic_Salary.1].[All]" dimensionUniqueName="[Emp_Data]" displayFolder="" count="0" memberValueDatatype="20" unbalanced="0"/>
    <cacheHierarchy uniqueName="[Emp_Data].[HRA]" caption="HRA" attribute="1" defaultMemberUniqueName="[Emp_Data].[HRA].[All]" allUniqueName="[Emp_Data].[HRA].[All]" dimensionUniqueName="[Emp_Data]" displayFolder="" count="0" memberValueDatatype="20" unbalanced="0"/>
    <cacheHierarchy uniqueName="[Emp_Data].[Conveyance]" caption="Conveyance" attribute="1" defaultMemberUniqueName="[Emp_Data].[Conveyance].[All]" allUniqueName="[Emp_Data].[Conveyance].[All]" dimensionUniqueName="[Emp_Data]" displayFolder="" count="0" memberValueDatatype="20" unbalanced="0"/>
    <cacheHierarchy uniqueName="[Emp_Data].[Medical_Allowance]" caption="Medical_Allowance" attribute="1" defaultMemberUniqueName="[Emp_Data].[Medical_Allowance].[All]" allUniqueName="[Emp_Data].[Medical_Allowance].[All]" dimensionUniqueName="[Emp_Data]" displayFolder="" count="0" memberValueDatatype="20" unbalanced="0"/>
    <cacheHierarchy uniqueName="[Emp_Data].[Special_Allowance]" caption="Special_Allowance" attribute="1" defaultMemberUniqueName="[Emp_Data].[Special_Allowance].[All]" allUniqueName="[Emp_Data].[Special_Allowance].[All]" dimensionUniqueName="[Emp_Data]" displayFolder="" count="0" memberValueDatatype="20" unbalanced="0"/>
    <cacheHierarchy uniqueName="[Emp_Data].[OT_Hours]" caption="OT_Hours" attribute="1" defaultMemberUniqueName="[Emp_Data].[OT_Hours].[All]" allUniqueName="[Emp_Data].[OT_Hours].[All]" dimensionUniqueName="[Emp_Data]" displayFolder="" count="0" memberValueDatatype="20" unbalanced="0"/>
    <cacheHierarchy uniqueName="[Emp_Data].[OT_Amount]" caption="OT_Amount" attribute="1" defaultMemberUniqueName="[Emp_Data].[OT_Amount].[All]" allUniqueName="[Emp_Data].[OT_Amount].[All]" dimensionUniqueName="[Emp_Data]" displayFolder="" count="0" memberValueDatatype="20" unbalanced="0"/>
    <cacheHierarchy uniqueName="[Emp_Data].[Gross_Salary]" caption="Gross_Salary" attribute="1" defaultMemberUniqueName="[Emp_Data].[Gross_Salary].[All]" allUniqueName="[Emp_Data].[Gross_Salary].[All]" dimensionUniqueName="[Emp_Data]" displayFolder="" count="0" memberValueDatatype="20" unbalanced="0"/>
    <cacheHierarchy uniqueName="[Emp_Data].[PF]" caption="PF" attribute="1" defaultMemberUniqueName="[Emp_Data].[PF].[All]" allUniqueName="[Emp_Data].[PF].[All]" dimensionUniqueName="[Emp_Data]" displayFolder="" count="0" memberValueDatatype="20" unbalanced="0"/>
    <cacheHierarchy uniqueName="[Emp_Data].[ESI]" caption="ESI" attribute="1" defaultMemberUniqueName="[Emp_Data].[ESI].[All]" allUniqueName="[Emp_Data].[ESI].[All]" dimensionUniqueName="[Emp_Data]" displayFolder="" count="0" memberValueDatatype="20" unbalanced="0"/>
    <cacheHierarchy uniqueName="[Emp_Data].[TDS]" caption="TDS" attribute="1" defaultMemberUniqueName="[Emp_Data].[TDS].[All]" allUniqueName="[Emp_Data].[TDS].[All]" dimensionUniqueName="[Emp_Data]" displayFolder="" count="0" memberValueDatatype="20" unbalanced="0"/>
    <cacheHierarchy uniqueName="[Emp_Data].[Other_Deductions]" caption="Other_Deductions" attribute="1" defaultMemberUniqueName="[Emp_Data].[Other_Deductions].[All]" allUniqueName="[Emp_Data].[Other_Deductions].[All]" dimensionUniqueName="[Emp_Data]" displayFolder="" count="0" memberValueDatatype="20" unbalanced="0"/>
    <cacheHierarchy uniqueName="[Emp_Data].[Total_Deductions]" caption="Total_Deductions" attribute="1" defaultMemberUniqueName="[Emp_Data].[Total_Deductions].[All]" allUniqueName="[Emp_Data].[Total_Deductions].[All]" dimensionUniqueName="[Emp_Data]" displayFolder="" count="0" memberValueDatatype="20" unbalanced="0"/>
    <cacheHierarchy uniqueName="[Emp_Data].[Net_Salary]" caption="Net_Salary" attribute="1" defaultMemberUniqueName="[Emp_Data].[Net_Salary].[All]" allUniqueName="[Emp_Data].[Net_Salary].[All]" dimensionUniqueName="[Emp_Data]" displayFolder="" count="0" memberValueDatatype="20" unbalanced="0"/>
    <cacheHierarchy uniqueName="[Emp_Data].[Present_Flag]" caption="Present_Flag" attribute="1" defaultMemberUniqueName="[Emp_Data].[Present_Flag].[All]" allUniqueName="[Emp_Data].[Present_Flag].[All]" dimensionUniqueName="[Emp_Data]" displayFolder="" count="0" memberValueDatatype="20" unbalanced="0"/>
    <cacheHierarchy uniqueName="[Emp_Data].[Absent_Flag]" caption="Absent_Flag" attribute="1" defaultMemberUniqueName="[Emp_Data].[Absent_Flag].[All]" allUniqueName="[Emp_Data].[Absent_Flag].[All]" dimensionUniqueName="[Emp_Data]" displayFolder="" count="0" memberValueDatatype="20" unbalanced="0"/>
    <cacheHierarchy uniqueName="[Emp_Data].[Late_Flag]" caption="Late_Flag" attribute="1" defaultMemberUniqueName="[Emp_Data].[Late_Flag].[All]" allUniqueName="[Emp_Data].[Late_Flag].[All]" dimensionUniqueName="[Emp_Data]" displayFolder="" count="0" memberValueDatatype="20" unbalanced="0"/>
    <cacheHierarchy uniqueName="[Emp_Data].[Leave_Flag]" caption="Leave_Flag" attribute="1" defaultMemberUniqueName="[Emp_Data].[Leave_Flag].[All]" allUniqueName="[Emp_Data].[Leave_Flag].[All]" dimensionUniqueName="[Emp_Data]" displayFolder="" count="0" memberValueDatatype="20" unbalanced="0"/>
    <cacheHierarchy uniqueName="[Measures].[__XL_Count Emp_Data]" caption="__XL_Count Emp_Data" measure="1" displayFolder="" measureGroup="Emp_Data" count="0" hidden="1"/>
    <cacheHierarchy uniqueName="[Measures].[__No measures defined]" caption="__No measures defined" measure="1" displayFolder="" count="0" hidden="1"/>
    <cacheHierarchy uniqueName="[Measures].[Count of Employee_ID]" caption="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Distinct Count of Employee_ID]" caption="Distinct Count of Employee_ID" measure="1" displayFolder="" measureGroup="Emp_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resent_Flag]" caption="Sum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Distinct Count of Present_Flag]" caption="Distinct Count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Sum of Absent_Flag]" caption="Sum of Absent_Flag" measure="1" displayFolder="" measureGroup="Emp_Data" count="0" hidden="1">
      <extLst>
        <ext xmlns:x15="http://schemas.microsoft.com/office/spreadsheetml/2010/11/main" uri="{B97F6D7D-B522-45F9-BDA1-12C45D357490}">
          <x15:cacheHierarchy aggregatedColumn="27"/>
        </ext>
      </extLst>
    </cacheHierarchy>
    <cacheHierarchy uniqueName="[Measures].[Sum of Leave_Flag]" caption="Sum of Leave_Flag" measure="1" displayFolder="" measureGroup="Emp_Data" count="0" hidden="1">
      <extLst>
        <ext xmlns:x15="http://schemas.microsoft.com/office/spreadsheetml/2010/11/main" uri="{B97F6D7D-B522-45F9-BDA1-12C45D357490}">
          <x15:cacheHierarchy aggregatedColumn="29"/>
        </ext>
      </extLst>
    </cacheHierarchy>
    <cacheHierarchy uniqueName="[Measures].[Sum of Late_Flag]" caption="Sum of Late_Flag" measure="1" displayFolder="" measureGroup="Emp_Data" count="0" hidden="1">
      <extLst>
        <ext xmlns:x15="http://schemas.microsoft.com/office/spreadsheetml/2010/11/main" uri="{B97F6D7D-B522-45F9-BDA1-12C45D357490}">
          <x15:cacheHierarchy aggregatedColumn="28"/>
        </ext>
      </extLst>
    </cacheHierarchy>
    <cacheHierarchy uniqueName="[Measures].[Sum of Gross_Salary]" caption="Sum of Gross_Salary" measure="1" displayFolder="" measureGroup="Emp_Data" count="0" hidden="1">
      <extLst>
        <ext xmlns:x15="http://schemas.microsoft.com/office/spreadsheetml/2010/11/main" uri="{B97F6D7D-B522-45F9-BDA1-12C45D357490}">
          <x15:cacheHierarchy aggregatedColumn="19"/>
        </ext>
      </extLst>
    </cacheHierarchy>
    <cacheHierarchy uniqueName="[Measures].[Sum of Net_Salary]" caption="Sum of Net_Salary" measure="1" displayFolder="" measureGroup="Emp_Data" count="0" hidden="1">
      <extLst>
        <ext xmlns:x15="http://schemas.microsoft.com/office/spreadsheetml/2010/11/main" uri="{B97F6D7D-B522-45F9-BDA1-12C45D357490}">
          <x15:cacheHierarchy aggregatedColumn="25"/>
        </ext>
      </extLst>
    </cacheHierarchy>
    <cacheHierarchy uniqueName="[Measures].[Sum of OT_Hours]" caption="Sum of OT_Hours" measure="1" displayFolder="" measureGroup="Emp_Data" count="0" hidden="1">
      <extLst>
        <ext xmlns:x15="http://schemas.microsoft.com/office/spreadsheetml/2010/11/main" uri="{B97F6D7D-B522-45F9-BDA1-12C45D357490}">
          <x15:cacheHierarchy aggregatedColumn="17"/>
        </ext>
      </extLst>
    </cacheHierarchy>
    <cacheHierarchy uniqueName="[Measures].[Sum of OT_Amount]" caption="Sum of OT_Amount" measure="1" displayFolder="" measureGroup="Emp_Data" count="0" hidden="1">
      <extLst>
        <ext xmlns:x15="http://schemas.microsoft.com/office/spreadsheetml/2010/11/main" uri="{B97F6D7D-B522-45F9-BDA1-12C45D357490}">
          <x15:cacheHierarchy aggregatedColumn="18"/>
        </ext>
      </extLst>
    </cacheHierarchy>
    <cacheHierarchy uniqueName="[Measures].[Count of Leave_Type]" caption="Count of Leave_Type" measure="1" displayFolder="" measureGroup="Emp_Data" count="0" hidden="1">
      <extLst>
        <ext xmlns:x15="http://schemas.microsoft.com/office/spreadsheetml/2010/11/main" uri="{B97F6D7D-B522-45F9-BDA1-12C45D357490}">
          <x15:cacheHierarchy aggregatedColumn="11"/>
        </ext>
      </extLst>
    </cacheHierarchy>
    <cacheHierarchy uniqueName="[Measures].[Sum of PF]" caption="Sum of PF" measure="1" displayFolder="" measureGroup="Emp_Data" count="0" hidden="1">
      <extLst>
        <ext xmlns:x15="http://schemas.microsoft.com/office/spreadsheetml/2010/11/main" uri="{B97F6D7D-B522-45F9-BDA1-12C45D357490}">
          <x15:cacheHierarchy aggregatedColumn="20"/>
        </ext>
      </extLst>
    </cacheHierarchy>
    <cacheHierarchy uniqueName="[Measures].[Sum of ESI]" caption="Sum of ESI" measure="1" displayFolder="" measureGroup="Emp_Data" count="0" hidden="1">
      <extLst>
        <ext xmlns:x15="http://schemas.microsoft.com/office/spreadsheetml/2010/11/main" uri="{B97F6D7D-B522-45F9-BDA1-12C45D357490}">
          <x15:cacheHierarchy aggregatedColumn="21"/>
        </ext>
      </extLst>
    </cacheHierarchy>
    <cacheHierarchy uniqueName="[Measures].[Sum of TDS]" caption="Sum of TDS" measure="1" displayFolder="" measureGroup="Emp_Data" count="0" hidden="1">
      <extLst>
        <ext xmlns:x15="http://schemas.microsoft.com/office/spreadsheetml/2010/11/main" uri="{B97F6D7D-B522-45F9-BDA1-12C45D357490}">
          <x15:cacheHierarchy aggregatedColumn="22"/>
        </ext>
      </extLst>
    </cacheHierarchy>
    <cacheHierarchy uniqueName="[Measures].[Sum of Other_Deductions]" caption="Sum of Other_Deductions" measure="1" displayFolder="" measureGroup="Emp_Data" count="0" hidden="1">
      <extLst>
        <ext xmlns:x15="http://schemas.microsoft.com/office/spreadsheetml/2010/11/main" uri="{B97F6D7D-B522-45F9-BDA1-12C45D357490}">
          <x15:cacheHierarchy aggregatedColumn="23"/>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SH JADHAV" refreshedDate="46283.27768402778" backgroundQuery="1" createdVersion="8" refreshedVersion="8" minRefreshableVersion="3" recordCount="0" supportSubquery="1" supportAdvancedDrill="1" xr:uid="{AC898588-C5A1-4989-B9E3-A819E1F0E03F}">
  <cacheSource type="external" connectionId="6"/>
  <cacheFields count="6">
    <cacheField name="[Measures].[Distinct Count of Employee_ID]" caption="Distinct Count of Employee_ID" numFmtId="0" hierarchy="33" level="32767"/>
    <cacheField name="[Measures].[Sum of Present_Flag]" caption="Sum of Present_Flag" numFmtId="0" hierarchy="34" level="32767"/>
    <cacheField name="[Measures].[Sum of Absent_Flag]" caption="Sum of Absent_Flag" numFmtId="0" hierarchy="36" level="32767"/>
    <cacheField name="[Measures].[Sum of Leave_Flag]" caption="Sum of Leave_Flag" numFmtId="0" hierarchy="37" level="32767"/>
    <cacheField name="[Measures].[Sum of Late_Flag]" caption="Sum of Late_Flag" numFmtId="0" hierarchy="38" level="32767"/>
    <cacheField name="[Emp_Data].[Department].[Department]" caption="Department" numFmtId="0" hierarchy="3" level="1">
      <sharedItems containsSemiMixedTypes="0" containsNonDate="0" containsString="0"/>
    </cacheField>
  </cacheFields>
  <cacheHierarchies count="48">
    <cacheHierarchy uniqueName="[Emp_Data].[Date]" caption="Date" attribute="1" time="1" defaultMemberUniqueName="[Emp_Data].[Date].[All]" allUniqueName="[Emp_Data].[Date].[All]" dimensionUniqueName="[Emp_Data]" displayFolder="" count="0" memberValueDatatype="7" unbalanced="0"/>
    <cacheHierarchy uniqueName="[Emp_Data].[Employee_ID]" caption="Employee_ID" attribute="1" defaultMemberUniqueName="[Emp_Data].[Employee_ID].[All]" allUniqueName="[Emp_Data].[Employee_ID].[All]" dimensionUniqueName="[Emp_Data]" displayFolder="" count="2" memberValueDatatype="130" unbalanced="0"/>
    <cacheHierarchy uniqueName="[Emp_Data].[Employee_Name]" caption="Employee_Name" attribute="1" defaultMemberUniqueName="[Emp_Data].[Employee_Name].[All]" allUniqueName="[Emp_Data].[Employee_Name].[All]" dimensionUniqueName="[Emp_Data]" displayFolder="" count="0" memberValueDatatype="130" unbalanced="0"/>
    <cacheHierarchy uniqueName="[Emp_Data].[Department]" caption="Department" attribute="1" defaultMemberUniqueName="[Emp_Data].[Department].[All]" allUniqueName="[Emp_Data].[Department].[All]" dimensionUniqueName="[Emp_Data]" displayFolder="" count="2" memberValueDatatype="130" unbalanced="0">
      <fieldsUsage count="2">
        <fieldUsage x="-1"/>
        <fieldUsage x="5"/>
      </fieldsUsage>
    </cacheHierarchy>
    <cacheHierarchy uniqueName="[Emp_Data].[Location]" caption="Location" attribute="1" defaultMemberUniqueName="[Emp_Data].[Location].[All]" allUniqueName="[Emp_Data].[Location].[All]" dimensionUniqueName="[Emp_Data]" displayFolder="" count="2" memberValueDatatype="130" unbalanced="0"/>
    <cacheHierarchy uniqueName="[Emp_Data].[Employee_Type]" caption="Employee_Type" attribute="1" defaultMemberUniqueName="[Emp_Data].[Employee_Type].[All]" allUniqueName="[Emp_Data].[Employee_Type].[All]" dimensionUniqueName="[Emp_Data]" displayFolder="" count="2" memberValueDatatype="130" unbalanced="0"/>
    <cacheHierarchy uniqueName="[Emp_Data].[Date_of_Joining]" caption="Date_of_Joining" attribute="1" time="1" defaultMemberUniqueName="[Emp_Data].[Date_of_Joining].[All]" allUniqueName="[Emp_Data].[Date_of_Joining].[All]" dimensionUniqueName="[Emp_Data]" displayFolder="" count="0" memberValueDatatype="7" unbalanced="0"/>
    <cacheHierarchy uniqueName="[Emp_Data].[Basic_Salary]" caption="Basic_Salary" attribute="1" defaultMemberUniqueName="[Emp_Data].[Basic_Salary].[All]" allUniqueName="[Emp_Data].[Basic_Salary].[All]" dimensionUniqueName="[Emp_Data]" displayFolder="" count="0" memberValueDatatype="20" unbalanced="0"/>
    <cacheHierarchy uniqueName="[Emp_Data].[Status]" caption="Status" attribute="1" defaultMemberUniqueName="[Emp_Data].[Status].[All]" allUniqueName="[Emp_Data].[Status].[All]" dimensionUniqueName="[Emp_Data]" displayFolder="" count="0" memberValueDatatype="130" unbalanced="0"/>
    <cacheHierarchy uniqueName="[Emp_Data].[Check_In]" caption="Check_In" attribute="1" defaultMemberUniqueName="[Emp_Data].[Check_In].[All]" allUniqueName="[Emp_Data].[Check_In].[All]" dimensionUniqueName="[Emp_Data]" displayFolder="" count="0" memberValueDatatype="130" unbalanced="0"/>
    <cacheHierarchy uniqueName="[Emp_Data].[Check_Out]" caption="Check_Out" attribute="1" defaultMemberUniqueName="[Emp_Data].[Check_Out].[All]" allUniqueName="[Emp_Data].[Check_Out].[All]" dimensionUniqueName="[Emp_Data]" displayFolder="" count="0" memberValueDatatype="130" unbalanced="0"/>
    <cacheHierarchy uniqueName="[Emp_Data].[Leave_Type]" caption="Leave_Type" attribute="1" defaultMemberUniqueName="[Emp_Data].[Leave_Type].[All]" allUniqueName="[Emp_Data].[Leave_Type].[All]" dimensionUniqueName="[Emp_Data]" displayFolder="" count="0" memberValueDatatype="130" unbalanced="0"/>
    <cacheHierarchy uniqueName="[Emp_Data].[Basic_Salary.1]" caption="Basic_Salary.1" attribute="1" defaultMemberUniqueName="[Emp_Data].[Basic_Salary.1].[All]" allUniqueName="[Emp_Data].[Basic_Salary.1].[All]" dimensionUniqueName="[Emp_Data]" displayFolder="" count="0" memberValueDatatype="20" unbalanced="0"/>
    <cacheHierarchy uniqueName="[Emp_Data].[HRA]" caption="HRA" attribute="1" defaultMemberUniqueName="[Emp_Data].[HRA].[All]" allUniqueName="[Emp_Data].[HRA].[All]" dimensionUniqueName="[Emp_Data]" displayFolder="" count="0" memberValueDatatype="20" unbalanced="0"/>
    <cacheHierarchy uniqueName="[Emp_Data].[Conveyance]" caption="Conveyance" attribute="1" defaultMemberUniqueName="[Emp_Data].[Conveyance].[All]" allUniqueName="[Emp_Data].[Conveyance].[All]" dimensionUniqueName="[Emp_Data]" displayFolder="" count="0" memberValueDatatype="20" unbalanced="0"/>
    <cacheHierarchy uniqueName="[Emp_Data].[Medical_Allowance]" caption="Medical_Allowance" attribute="1" defaultMemberUniqueName="[Emp_Data].[Medical_Allowance].[All]" allUniqueName="[Emp_Data].[Medical_Allowance].[All]" dimensionUniqueName="[Emp_Data]" displayFolder="" count="0" memberValueDatatype="20" unbalanced="0"/>
    <cacheHierarchy uniqueName="[Emp_Data].[Special_Allowance]" caption="Special_Allowance" attribute="1" defaultMemberUniqueName="[Emp_Data].[Special_Allowance].[All]" allUniqueName="[Emp_Data].[Special_Allowance].[All]" dimensionUniqueName="[Emp_Data]" displayFolder="" count="0" memberValueDatatype="20" unbalanced="0"/>
    <cacheHierarchy uniqueName="[Emp_Data].[OT_Hours]" caption="OT_Hours" attribute="1" defaultMemberUniqueName="[Emp_Data].[OT_Hours].[All]" allUniqueName="[Emp_Data].[OT_Hours].[All]" dimensionUniqueName="[Emp_Data]" displayFolder="" count="0" memberValueDatatype="20" unbalanced="0"/>
    <cacheHierarchy uniqueName="[Emp_Data].[OT_Amount]" caption="OT_Amount" attribute="1" defaultMemberUniqueName="[Emp_Data].[OT_Amount].[All]" allUniqueName="[Emp_Data].[OT_Amount].[All]" dimensionUniqueName="[Emp_Data]" displayFolder="" count="0" memberValueDatatype="20" unbalanced="0"/>
    <cacheHierarchy uniqueName="[Emp_Data].[Gross_Salary]" caption="Gross_Salary" attribute="1" defaultMemberUniqueName="[Emp_Data].[Gross_Salary].[All]" allUniqueName="[Emp_Data].[Gross_Salary].[All]" dimensionUniqueName="[Emp_Data]" displayFolder="" count="0" memberValueDatatype="20" unbalanced="0"/>
    <cacheHierarchy uniqueName="[Emp_Data].[PF]" caption="PF" attribute="1" defaultMemberUniqueName="[Emp_Data].[PF].[All]" allUniqueName="[Emp_Data].[PF].[All]" dimensionUniqueName="[Emp_Data]" displayFolder="" count="0" memberValueDatatype="20" unbalanced="0"/>
    <cacheHierarchy uniqueName="[Emp_Data].[ESI]" caption="ESI" attribute="1" defaultMemberUniqueName="[Emp_Data].[ESI].[All]" allUniqueName="[Emp_Data].[ESI].[All]" dimensionUniqueName="[Emp_Data]" displayFolder="" count="0" memberValueDatatype="20" unbalanced="0"/>
    <cacheHierarchy uniqueName="[Emp_Data].[TDS]" caption="TDS" attribute="1" defaultMemberUniqueName="[Emp_Data].[TDS].[All]" allUniqueName="[Emp_Data].[TDS].[All]" dimensionUniqueName="[Emp_Data]" displayFolder="" count="0" memberValueDatatype="20" unbalanced="0"/>
    <cacheHierarchy uniqueName="[Emp_Data].[Other_Deductions]" caption="Other_Deductions" attribute="1" defaultMemberUniqueName="[Emp_Data].[Other_Deductions].[All]" allUniqueName="[Emp_Data].[Other_Deductions].[All]" dimensionUniqueName="[Emp_Data]" displayFolder="" count="0" memberValueDatatype="20" unbalanced="0"/>
    <cacheHierarchy uniqueName="[Emp_Data].[Total_Deductions]" caption="Total_Deductions" attribute="1" defaultMemberUniqueName="[Emp_Data].[Total_Deductions].[All]" allUniqueName="[Emp_Data].[Total_Deductions].[All]" dimensionUniqueName="[Emp_Data]" displayFolder="" count="0" memberValueDatatype="20" unbalanced="0"/>
    <cacheHierarchy uniqueName="[Emp_Data].[Net_Salary]" caption="Net_Salary" attribute="1" defaultMemberUniqueName="[Emp_Data].[Net_Salary].[All]" allUniqueName="[Emp_Data].[Net_Salary].[All]" dimensionUniqueName="[Emp_Data]" displayFolder="" count="0" memberValueDatatype="20" unbalanced="0"/>
    <cacheHierarchy uniqueName="[Emp_Data].[Present_Flag]" caption="Present_Flag" attribute="1" defaultMemberUniqueName="[Emp_Data].[Present_Flag].[All]" allUniqueName="[Emp_Data].[Present_Flag].[All]" dimensionUniqueName="[Emp_Data]" displayFolder="" count="0" memberValueDatatype="20" unbalanced="0"/>
    <cacheHierarchy uniqueName="[Emp_Data].[Absent_Flag]" caption="Absent_Flag" attribute="1" defaultMemberUniqueName="[Emp_Data].[Absent_Flag].[All]" allUniqueName="[Emp_Data].[Absent_Flag].[All]" dimensionUniqueName="[Emp_Data]" displayFolder="" count="0" memberValueDatatype="20" unbalanced="0"/>
    <cacheHierarchy uniqueName="[Emp_Data].[Late_Flag]" caption="Late_Flag" attribute="1" defaultMemberUniqueName="[Emp_Data].[Late_Flag].[All]" allUniqueName="[Emp_Data].[Late_Flag].[All]" dimensionUniqueName="[Emp_Data]" displayFolder="" count="0" memberValueDatatype="20" unbalanced="0"/>
    <cacheHierarchy uniqueName="[Emp_Data].[Leave_Flag]" caption="Leave_Flag" attribute="1" defaultMemberUniqueName="[Emp_Data].[Leave_Flag].[All]" allUniqueName="[Emp_Data].[Leave_Flag].[All]" dimensionUniqueName="[Emp_Data]" displayFolder="" count="0" memberValueDatatype="20" unbalanced="0"/>
    <cacheHierarchy uniqueName="[Measures].[__XL_Count Emp_Data]" caption="__XL_Count Emp_Data" measure="1" displayFolder="" measureGroup="Emp_Data" count="0" hidden="1"/>
    <cacheHierarchy uniqueName="[Measures].[__No measures defined]" caption="__No measures defined" measure="1" displayFolder="" count="0" hidden="1"/>
    <cacheHierarchy uniqueName="[Measures].[Count of Employee_ID]" caption="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Distinct Count of Employee_ID]" caption="Distinct Count of Employee_ID" measure="1" displayFolder="" measureGroup="Emp_Data"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Present_Flag]" caption="Sum of Present_Flag" measure="1" displayFolder="" measureGroup="Emp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Distinct Count of Present_Flag]" caption="Distinct Count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Sum of Absent_Flag]" caption="Sum of Absent_Flag" measure="1" displayFolder="" measureGroup="Emp_Data"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Leave_Flag]" caption="Sum of Leave_Flag" measure="1" displayFolder="" measureGroup="Emp_Data"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Late_Flag]" caption="Sum of Late_Flag" measure="1" displayFolder="" measureGroup="Emp_Data" count="0" oneField="1" hidden="1">
      <fieldsUsage count="1">
        <fieldUsage x="4"/>
      </fieldsUsage>
      <extLst>
        <ext xmlns:x15="http://schemas.microsoft.com/office/spreadsheetml/2010/11/main" uri="{B97F6D7D-B522-45F9-BDA1-12C45D357490}">
          <x15:cacheHierarchy aggregatedColumn="28"/>
        </ext>
      </extLst>
    </cacheHierarchy>
    <cacheHierarchy uniqueName="[Measures].[Sum of Gross_Salary]" caption="Sum of Gross_Salary" measure="1" displayFolder="" measureGroup="Emp_Data" count="0" hidden="1">
      <extLst>
        <ext xmlns:x15="http://schemas.microsoft.com/office/spreadsheetml/2010/11/main" uri="{B97F6D7D-B522-45F9-BDA1-12C45D357490}">
          <x15:cacheHierarchy aggregatedColumn="19"/>
        </ext>
      </extLst>
    </cacheHierarchy>
    <cacheHierarchy uniqueName="[Measures].[Sum of Net_Salary]" caption="Sum of Net_Salary" measure="1" displayFolder="" measureGroup="Emp_Data" count="0" hidden="1">
      <extLst>
        <ext xmlns:x15="http://schemas.microsoft.com/office/spreadsheetml/2010/11/main" uri="{B97F6D7D-B522-45F9-BDA1-12C45D357490}">
          <x15:cacheHierarchy aggregatedColumn="25"/>
        </ext>
      </extLst>
    </cacheHierarchy>
    <cacheHierarchy uniqueName="[Measures].[Sum of OT_Hours]" caption="Sum of OT_Hours" measure="1" displayFolder="" measureGroup="Emp_Data" count="0" hidden="1">
      <extLst>
        <ext xmlns:x15="http://schemas.microsoft.com/office/spreadsheetml/2010/11/main" uri="{B97F6D7D-B522-45F9-BDA1-12C45D357490}">
          <x15:cacheHierarchy aggregatedColumn="17"/>
        </ext>
      </extLst>
    </cacheHierarchy>
    <cacheHierarchy uniqueName="[Measures].[Sum of OT_Amount]" caption="Sum of OT_Amount" measure="1" displayFolder="" measureGroup="Emp_Data" count="0" hidden="1">
      <extLst>
        <ext xmlns:x15="http://schemas.microsoft.com/office/spreadsheetml/2010/11/main" uri="{B97F6D7D-B522-45F9-BDA1-12C45D357490}">
          <x15:cacheHierarchy aggregatedColumn="18"/>
        </ext>
      </extLst>
    </cacheHierarchy>
    <cacheHierarchy uniqueName="[Measures].[Count of Leave_Type]" caption="Count of Leave_Type" measure="1" displayFolder="" measureGroup="Emp_Data" count="0" hidden="1">
      <extLst>
        <ext xmlns:x15="http://schemas.microsoft.com/office/spreadsheetml/2010/11/main" uri="{B97F6D7D-B522-45F9-BDA1-12C45D357490}">
          <x15:cacheHierarchy aggregatedColumn="11"/>
        </ext>
      </extLst>
    </cacheHierarchy>
    <cacheHierarchy uniqueName="[Measures].[Sum of PF]" caption="Sum of PF" measure="1" displayFolder="" measureGroup="Emp_Data" count="0" hidden="1">
      <extLst>
        <ext xmlns:x15="http://schemas.microsoft.com/office/spreadsheetml/2010/11/main" uri="{B97F6D7D-B522-45F9-BDA1-12C45D357490}">
          <x15:cacheHierarchy aggregatedColumn="20"/>
        </ext>
      </extLst>
    </cacheHierarchy>
    <cacheHierarchy uniqueName="[Measures].[Sum of ESI]" caption="Sum of ESI" measure="1" displayFolder="" measureGroup="Emp_Data" count="0" hidden="1">
      <extLst>
        <ext xmlns:x15="http://schemas.microsoft.com/office/spreadsheetml/2010/11/main" uri="{B97F6D7D-B522-45F9-BDA1-12C45D357490}">
          <x15:cacheHierarchy aggregatedColumn="21"/>
        </ext>
      </extLst>
    </cacheHierarchy>
    <cacheHierarchy uniqueName="[Measures].[Sum of TDS]" caption="Sum of TDS" measure="1" displayFolder="" measureGroup="Emp_Data" count="0" hidden="1">
      <extLst>
        <ext xmlns:x15="http://schemas.microsoft.com/office/spreadsheetml/2010/11/main" uri="{B97F6D7D-B522-45F9-BDA1-12C45D357490}">
          <x15:cacheHierarchy aggregatedColumn="22"/>
        </ext>
      </extLst>
    </cacheHierarchy>
    <cacheHierarchy uniqueName="[Measures].[Sum of Other_Deductions]" caption="Sum of Other_Deductions" measure="1" displayFolder="" measureGroup="Emp_Data" count="0" hidden="1">
      <extLst>
        <ext xmlns:x15="http://schemas.microsoft.com/office/spreadsheetml/2010/11/main" uri="{B97F6D7D-B522-45F9-BDA1-12C45D357490}">
          <x15:cacheHierarchy aggregatedColumn="23"/>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SH JADHAV" refreshedDate="46283.277684837965" backgroundQuery="1" createdVersion="8" refreshedVersion="8" minRefreshableVersion="3" recordCount="0" supportSubquery="1" supportAdvancedDrill="1" xr:uid="{682F503C-6F88-432F-8A18-374B8F4B89F0}">
  <cacheSource type="external" connectionId="6"/>
  <cacheFields count="2">
    <cacheField name="[Measures].[Sum of OT_Hours]" caption="Sum of OT_Hours" numFmtId="0" hierarchy="41" level="32767"/>
    <cacheField name="[Emp_Data].[Department].[Department]" caption="Department" numFmtId="0" hierarchy="3" level="1">
      <sharedItems containsSemiMixedTypes="0" containsNonDate="0" containsString="0"/>
    </cacheField>
  </cacheFields>
  <cacheHierarchies count="48">
    <cacheHierarchy uniqueName="[Emp_Data].[Date]" caption="Date" attribute="1" time="1" defaultMemberUniqueName="[Emp_Data].[Date].[All]" allUniqueName="[Emp_Data].[Date].[All]" dimensionUniqueName="[Emp_Data]" displayFolder="" count="0" memberValueDatatype="7" unbalanced="0"/>
    <cacheHierarchy uniqueName="[Emp_Data].[Employee_ID]" caption="Employee_ID" attribute="1" defaultMemberUniqueName="[Emp_Data].[Employee_ID].[All]" allUniqueName="[Emp_Data].[Employee_ID].[All]" dimensionUniqueName="[Emp_Data]" displayFolder="" count="2" memberValueDatatype="130" unbalanced="0"/>
    <cacheHierarchy uniqueName="[Emp_Data].[Employee_Name]" caption="Employee_Name" attribute="1" defaultMemberUniqueName="[Emp_Data].[Employee_Name].[All]" allUniqueName="[Emp_Data].[Employee_Name].[All]" dimensionUniqueName="[Emp_Data]" displayFolder="" count="0" memberValueDatatype="130" unbalanced="0"/>
    <cacheHierarchy uniqueName="[Emp_Data].[Department]" caption="Department" attribute="1" defaultMemberUniqueName="[Emp_Data].[Department].[All]" allUniqueName="[Emp_Data].[Department].[All]" dimensionUniqueName="[Emp_Data]" displayFolder="" count="2" memberValueDatatype="130" unbalanced="0">
      <fieldsUsage count="2">
        <fieldUsage x="-1"/>
        <fieldUsage x="1"/>
      </fieldsUsage>
    </cacheHierarchy>
    <cacheHierarchy uniqueName="[Emp_Data].[Location]" caption="Location" attribute="1" defaultMemberUniqueName="[Emp_Data].[Location].[All]" allUniqueName="[Emp_Data].[Location].[All]" dimensionUniqueName="[Emp_Data]" displayFolder="" count="2" memberValueDatatype="130" unbalanced="0"/>
    <cacheHierarchy uniqueName="[Emp_Data].[Employee_Type]" caption="Employee_Type" attribute="1" defaultMemberUniqueName="[Emp_Data].[Employee_Type].[All]" allUniqueName="[Emp_Data].[Employee_Type].[All]" dimensionUniqueName="[Emp_Data]" displayFolder="" count="2" memberValueDatatype="130" unbalanced="0"/>
    <cacheHierarchy uniqueName="[Emp_Data].[Date_of_Joining]" caption="Date_of_Joining" attribute="1" time="1" defaultMemberUniqueName="[Emp_Data].[Date_of_Joining].[All]" allUniqueName="[Emp_Data].[Date_of_Joining].[All]" dimensionUniqueName="[Emp_Data]" displayFolder="" count="0" memberValueDatatype="7" unbalanced="0"/>
    <cacheHierarchy uniqueName="[Emp_Data].[Basic_Salary]" caption="Basic_Salary" attribute="1" defaultMemberUniqueName="[Emp_Data].[Basic_Salary].[All]" allUniqueName="[Emp_Data].[Basic_Salary].[All]" dimensionUniqueName="[Emp_Data]" displayFolder="" count="0" memberValueDatatype="20" unbalanced="0"/>
    <cacheHierarchy uniqueName="[Emp_Data].[Status]" caption="Status" attribute="1" defaultMemberUniqueName="[Emp_Data].[Status].[All]" allUniqueName="[Emp_Data].[Status].[All]" dimensionUniqueName="[Emp_Data]" displayFolder="" count="0" memberValueDatatype="130" unbalanced="0"/>
    <cacheHierarchy uniqueName="[Emp_Data].[Check_In]" caption="Check_In" attribute="1" defaultMemberUniqueName="[Emp_Data].[Check_In].[All]" allUniqueName="[Emp_Data].[Check_In].[All]" dimensionUniqueName="[Emp_Data]" displayFolder="" count="0" memberValueDatatype="130" unbalanced="0"/>
    <cacheHierarchy uniqueName="[Emp_Data].[Check_Out]" caption="Check_Out" attribute="1" defaultMemberUniqueName="[Emp_Data].[Check_Out].[All]" allUniqueName="[Emp_Data].[Check_Out].[All]" dimensionUniqueName="[Emp_Data]" displayFolder="" count="0" memberValueDatatype="130" unbalanced="0"/>
    <cacheHierarchy uniqueName="[Emp_Data].[Leave_Type]" caption="Leave_Type" attribute="1" defaultMemberUniqueName="[Emp_Data].[Leave_Type].[All]" allUniqueName="[Emp_Data].[Leave_Type].[All]" dimensionUniqueName="[Emp_Data]" displayFolder="" count="0" memberValueDatatype="130" unbalanced="0"/>
    <cacheHierarchy uniqueName="[Emp_Data].[Basic_Salary.1]" caption="Basic_Salary.1" attribute="1" defaultMemberUniqueName="[Emp_Data].[Basic_Salary.1].[All]" allUniqueName="[Emp_Data].[Basic_Salary.1].[All]" dimensionUniqueName="[Emp_Data]" displayFolder="" count="0" memberValueDatatype="20" unbalanced="0"/>
    <cacheHierarchy uniqueName="[Emp_Data].[HRA]" caption="HRA" attribute="1" defaultMemberUniqueName="[Emp_Data].[HRA].[All]" allUniqueName="[Emp_Data].[HRA].[All]" dimensionUniqueName="[Emp_Data]" displayFolder="" count="0" memberValueDatatype="20" unbalanced="0"/>
    <cacheHierarchy uniqueName="[Emp_Data].[Conveyance]" caption="Conveyance" attribute="1" defaultMemberUniqueName="[Emp_Data].[Conveyance].[All]" allUniqueName="[Emp_Data].[Conveyance].[All]" dimensionUniqueName="[Emp_Data]" displayFolder="" count="0" memberValueDatatype="20" unbalanced="0"/>
    <cacheHierarchy uniqueName="[Emp_Data].[Medical_Allowance]" caption="Medical_Allowance" attribute="1" defaultMemberUniqueName="[Emp_Data].[Medical_Allowance].[All]" allUniqueName="[Emp_Data].[Medical_Allowance].[All]" dimensionUniqueName="[Emp_Data]" displayFolder="" count="0" memberValueDatatype="20" unbalanced="0"/>
    <cacheHierarchy uniqueName="[Emp_Data].[Special_Allowance]" caption="Special_Allowance" attribute="1" defaultMemberUniqueName="[Emp_Data].[Special_Allowance].[All]" allUniqueName="[Emp_Data].[Special_Allowance].[All]" dimensionUniqueName="[Emp_Data]" displayFolder="" count="0" memberValueDatatype="20" unbalanced="0"/>
    <cacheHierarchy uniqueName="[Emp_Data].[OT_Hours]" caption="OT_Hours" attribute="1" defaultMemberUniqueName="[Emp_Data].[OT_Hours].[All]" allUniqueName="[Emp_Data].[OT_Hours].[All]" dimensionUniqueName="[Emp_Data]" displayFolder="" count="0" memberValueDatatype="20" unbalanced="0"/>
    <cacheHierarchy uniqueName="[Emp_Data].[OT_Amount]" caption="OT_Amount" attribute="1" defaultMemberUniqueName="[Emp_Data].[OT_Amount].[All]" allUniqueName="[Emp_Data].[OT_Amount].[All]" dimensionUniqueName="[Emp_Data]" displayFolder="" count="0" memberValueDatatype="20" unbalanced="0"/>
    <cacheHierarchy uniqueName="[Emp_Data].[Gross_Salary]" caption="Gross_Salary" attribute="1" defaultMemberUniqueName="[Emp_Data].[Gross_Salary].[All]" allUniqueName="[Emp_Data].[Gross_Salary].[All]" dimensionUniqueName="[Emp_Data]" displayFolder="" count="0" memberValueDatatype="20" unbalanced="0"/>
    <cacheHierarchy uniqueName="[Emp_Data].[PF]" caption="PF" attribute="1" defaultMemberUniqueName="[Emp_Data].[PF].[All]" allUniqueName="[Emp_Data].[PF].[All]" dimensionUniqueName="[Emp_Data]" displayFolder="" count="0" memberValueDatatype="20" unbalanced="0"/>
    <cacheHierarchy uniqueName="[Emp_Data].[ESI]" caption="ESI" attribute="1" defaultMemberUniqueName="[Emp_Data].[ESI].[All]" allUniqueName="[Emp_Data].[ESI].[All]" dimensionUniqueName="[Emp_Data]" displayFolder="" count="0" memberValueDatatype="20" unbalanced="0"/>
    <cacheHierarchy uniqueName="[Emp_Data].[TDS]" caption="TDS" attribute="1" defaultMemberUniqueName="[Emp_Data].[TDS].[All]" allUniqueName="[Emp_Data].[TDS].[All]" dimensionUniqueName="[Emp_Data]" displayFolder="" count="0" memberValueDatatype="20" unbalanced="0"/>
    <cacheHierarchy uniqueName="[Emp_Data].[Other_Deductions]" caption="Other_Deductions" attribute="1" defaultMemberUniqueName="[Emp_Data].[Other_Deductions].[All]" allUniqueName="[Emp_Data].[Other_Deductions].[All]" dimensionUniqueName="[Emp_Data]" displayFolder="" count="0" memberValueDatatype="20" unbalanced="0"/>
    <cacheHierarchy uniqueName="[Emp_Data].[Total_Deductions]" caption="Total_Deductions" attribute="1" defaultMemberUniqueName="[Emp_Data].[Total_Deductions].[All]" allUniqueName="[Emp_Data].[Total_Deductions].[All]" dimensionUniqueName="[Emp_Data]" displayFolder="" count="0" memberValueDatatype="20" unbalanced="0"/>
    <cacheHierarchy uniqueName="[Emp_Data].[Net_Salary]" caption="Net_Salary" attribute="1" defaultMemberUniqueName="[Emp_Data].[Net_Salary].[All]" allUniqueName="[Emp_Data].[Net_Salary].[All]" dimensionUniqueName="[Emp_Data]" displayFolder="" count="0" memberValueDatatype="20" unbalanced="0"/>
    <cacheHierarchy uniqueName="[Emp_Data].[Present_Flag]" caption="Present_Flag" attribute="1" defaultMemberUniqueName="[Emp_Data].[Present_Flag].[All]" allUniqueName="[Emp_Data].[Present_Flag].[All]" dimensionUniqueName="[Emp_Data]" displayFolder="" count="0" memberValueDatatype="20" unbalanced="0"/>
    <cacheHierarchy uniqueName="[Emp_Data].[Absent_Flag]" caption="Absent_Flag" attribute="1" defaultMemberUniqueName="[Emp_Data].[Absent_Flag].[All]" allUniqueName="[Emp_Data].[Absent_Flag].[All]" dimensionUniqueName="[Emp_Data]" displayFolder="" count="0" memberValueDatatype="20" unbalanced="0"/>
    <cacheHierarchy uniqueName="[Emp_Data].[Late_Flag]" caption="Late_Flag" attribute="1" defaultMemberUniqueName="[Emp_Data].[Late_Flag].[All]" allUniqueName="[Emp_Data].[Late_Flag].[All]" dimensionUniqueName="[Emp_Data]" displayFolder="" count="0" memberValueDatatype="20" unbalanced="0"/>
    <cacheHierarchy uniqueName="[Emp_Data].[Leave_Flag]" caption="Leave_Flag" attribute="1" defaultMemberUniqueName="[Emp_Data].[Leave_Flag].[All]" allUniqueName="[Emp_Data].[Leave_Flag].[All]" dimensionUniqueName="[Emp_Data]" displayFolder="" count="0" memberValueDatatype="20" unbalanced="0"/>
    <cacheHierarchy uniqueName="[Measures].[__XL_Count Emp_Data]" caption="__XL_Count Emp_Data" measure="1" displayFolder="" measureGroup="Emp_Data" count="0" hidden="1"/>
    <cacheHierarchy uniqueName="[Measures].[__No measures defined]" caption="__No measures defined" measure="1" displayFolder="" count="0" hidden="1"/>
    <cacheHierarchy uniqueName="[Measures].[Count of Employee_ID]" caption="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Distinct Count of Employee_ID]" caption="Distinct 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Sum of Present_Flag]" caption="Sum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Distinct Count of Present_Flag]" caption="Distinct Count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Sum of Absent_Flag]" caption="Sum of Absent_Flag" measure="1" displayFolder="" measureGroup="Emp_Data" count="0" hidden="1">
      <extLst>
        <ext xmlns:x15="http://schemas.microsoft.com/office/spreadsheetml/2010/11/main" uri="{B97F6D7D-B522-45F9-BDA1-12C45D357490}">
          <x15:cacheHierarchy aggregatedColumn="27"/>
        </ext>
      </extLst>
    </cacheHierarchy>
    <cacheHierarchy uniqueName="[Measures].[Sum of Leave_Flag]" caption="Sum of Leave_Flag" measure="1" displayFolder="" measureGroup="Emp_Data" count="0" hidden="1">
      <extLst>
        <ext xmlns:x15="http://schemas.microsoft.com/office/spreadsheetml/2010/11/main" uri="{B97F6D7D-B522-45F9-BDA1-12C45D357490}">
          <x15:cacheHierarchy aggregatedColumn="29"/>
        </ext>
      </extLst>
    </cacheHierarchy>
    <cacheHierarchy uniqueName="[Measures].[Sum of Late_Flag]" caption="Sum of Late_Flag" measure="1" displayFolder="" measureGroup="Emp_Data" count="0" hidden="1">
      <extLst>
        <ext xmlns:x15="http://schemas.microsoft.com/office/spreadsheetml/2010/11/main" uri="{B97F6D7D-B522-45F9-BDA1-12C45D357490}">
          <x15:cacheHierarchy aggregatedColumn="28"/>
        </ext>
      </extLst>
    </cacheHierarchy>
    <cacheHierarchy uniqueName="[Measures].[Sum of Gross_Salary]" caption="Sum of Gross_Salary" measure="1" displayFolder="" measureGroup="Emp_Data" count="0" hidden="1">
      <extLst>
        <ext xmlns:x15="http://schemas.microsoft.com/office/spreadsheetml/2010/11/main" uri="{B97F6D7D-B522-45F9-BDA1-12C45D357490}">
          <x15:cacheHierarchy aggregatedColumn="19"/>
        </ext>
      </extLst>
    </cacheHierarchy>
    <cacheHierarchy uniqueName="[Measures].[Sum of Net_Salary]" caption="Sum of Net_Salary" measure="1" displayFolder="" measureGroup="Emp_Data" count="0" hidden="1">
      <extLst>
        <ext xmlns:x15="http://schemas.microsoft.com/office/spreadsheetml/2010/11/main" uri="{B97F6D7D-B522-45F9-BDA1-12C45D357490}">
          <x15:cacheHierarchy aggregatedColumn="25"/>
        </ext>
      </extLst>
    </cacheHierarchy>
    <cacheHierarchy uniqueName="[Measures].[Sum of OT_Hours]" caption="Sum of OT_Hours" measure="1" displayFolder="" measureGroup="Emp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OT_Amount]" caption="Sum of OT_Amount" measure="1" displayFolder="" measureGroup="Emp_Data" count="0" hidden="1">
      <extLst>
        <ext xmlns:x15="http://schemas.microsoft.com/office/spreadsheetml/2010/11/main" uri="{B97F6D7D-B522-45F9-BDA1-12C45D357490}">
          <x15:cacheHierarchy aggregatedColumn="18"/>
        </ext>
      </extLst>
    </cacheHierarchy>
    <cacheHierarchy uniqueName="[Measures].[Count of Leave_Type]" caption="Count of Leave_Type" measure="1" displayFolder="" measureGroup="Emp_Data" count="0" hidden="1">
      <extLst>
        <ext xmlns:x15="http://schemas.microsoft.com/office/spreadsheetml/2010/11/main" uri="{B97F6D7D-B522-45F9-BDA1-12C45D357490}">
          <x15:cacheHierarchy aggregatedColumn="11"/>
        </ext>
      </extLst>
    </cacheHierarchy>
    <cacheHierarchy uniqueName="[Measures].[Sum of PF]" caption="Sum of PF" measure="1" displayFolder="" measureGroup="Emp_Data" count="0" hidden="1">
      <extLst>
        <ext xmlns:x15="http://schemas.microsoft.com/office/spreadsheetml/2010/11/main" uri="{B97F6D7D-B522-45F9-BDA1-12C45D357490}">
          <x15:cacheHierarchy aggregatedColumn="20"/>
        </ext>
      </extLst>
    </cacheHierarchy>
    <cacheHierarchy uniqueName="[Measures].[Sum of ESI]" caption="Sum of ESI" measure="1" displayFolder="" measureGroup="Emp_Data" count="0" hidden="1">
      <extLst>
        <ext xmlns:x15="http://schemas.microsoft.com/office/spreadsheetml/2010/11/main" uri="{B97F6D7D-B522-45F9-BDA1-12C45D357490}">
          <x15:cacheHierarchy aggregatedColumn="21"/>
        </ext>
      </extLst>
    </cacheHierarchy>
    <cacheHierarchy uniqueName="[Measures].[Sum of TDS]" caption="Sum of TDS" measure="1" displayFolder="" measureGroup="Emp_Data" count="0" hidden="1">
      <extLst>
        <ext xmlns:x15="http://schemas.microsoft.com/office/spreadsheetml/2010/11/main" uri="{B97F6D7D-B522-45F9-BDA1-12C45D357490}">
          <x15:cacheHierarchy aggregatedColumn="22"/>
        </ext>
      </extLst>
    </cacheHierarchy>
    <cacheHierarchy uniqueName="[Measures].[Sum of Other_Deductions]" caption="Sum of Other_Deductions" measure="1" displayFolder="" measureGroup="Emp_Data" count="0" hidden="1">
      <extLst>
        <ext xmlns:x15="http://schemas.microsoft.com/office/spreadsheetml/2010/11/main" uri="{B97F6D7D-B522-45F9-BDA1-12C45D357490}">
          <x15:cacheHierarchy aggregatedColumn="23"/>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SH JADHAV" refreshedDate="46283.277685995374" backgroundQuery="1" createdVersion="8" refreshedVersion="8" minRefreshableVersion="3" recordCount="0" supportSubquery="1" supportAdvancedDrill="1" xr:uid="{065E0267-EE53-4B11-BA18-42B2AFE363F5}">
  <cacheSource type="external" connectionId="6"/>
  <cacheFields count="2">
    <cacheField name="[Measures].[Sum of OT_Amount]" caption="Sum of OT_Amount" numFmtId="0" hierarchy="42" level="32767"/>
    <cacheField name="[Emp_Data].[Department].[Department]" caption="Department" numFmtId="0" hierarchy="3" level="1">
      <sharedItems containsSemiMixedTypes="0" containsNonDate="0" containsString="0"/>
    </cacheField>
  </cacheFields>
  <cacheHierarchies count="48">
    <cacheHierarchy uniqueName="[Emp_Data].[Date]" caption="Date" attribute="1" time="1" defaultMemberUniqueName="[Emp_Data].[Date].[All]" allUniqueName="[Emp_Data].[Date].[All]" dimensionUniqueName="[Emp_Data]" displayFolder="" count="0" memberValueDatatype="7" unbalanced="0"/>
    <cacheHierarchy uniqueName="[Emp_Data].[Employee_ID]" caption="Employee_ID" attribute="1" defaultMemberUniqueName="[Emp_Data].[Employee_ID].[All]" allUniqueName="[Emp_Data].[Employee_ID].[All]" dimensionUniqueName="[Emp_Data]" displayFolder="" count="2" memberValueDatatype="130" unbalanced="0"/>
    <cacheHierarchy uniqueName="[Emp_Data].[Employee_Name]" caption="Employee_Name" attribute="1" defaultMemberUniqueName="[Emp_Data].[Employee_Name].[All]" allUniqueName="[Emp_Data].[Employee_Name].[All]" dimensionUniqueName="[Emp_Data]" displayFolder="" count="0" memberValueDatatype="130" unbalanced="0"/>
    <cacheHierarchy uniqueName="[Emp_Data].[Department]" caption="Department" attribute="1" defaultMemberUniqueName="[Emp_Data].[Department].[All]" allUniqueName="[Emp_Data].[Department].[All]" dimensionUniqueName="[Emp_Data]" displayFolder="" count="2" memberValueDatatype="130" unbalanced="0">
      <fieldsUsage count="2">
        <fieldUsage x="-1"/>
        <fieldUsage x="1"/>
      </fieldsUsage>
    </cacheHierarchy>
    <cacheHierarchy uniqueName="[Emp_Data].[Location]" caption="Location" attribute="1" defaultMemberUniqueName="[Emp_Data].[Location].[All]" allUniqueName="[Emp_Data].[Location].[All]" dimensionUniqueName="[Emp_Data]" displayFolder="" count="2" memberValueDatatype="130" unbalanced="0"/>
    <cacheHierarchy uniqueName="[Emp_Data].[Employee_Type]" caption="Employee_Type" attribute="1" defaultMemberUniqueName="[Emp_Data].[Employee_Type].[All]" allUniqueName="[Emp_Data].[Employee_Type].[All]" dimensionUniqueName="[Emp_Data]" displayFolder="" count="2" memberValueDatatype="130" unbalanced="0"/>
    <cacheHierarchy uniqueName="[Emp_Data].[Date_of_Joining]" caption="Date_of_Joining" attribute="1" time="1" defaultMemberUniqueName="[Emp_Data].[Date_of_Joining].[All]" allUniqueName="[Emp_Data].[Date_of_Joining].[All]" dimensionUniqueName="[Emp_Data]" displayFolder="" count="0" memberValueDatatype="7" unbalanced="0"/>
    <cacheHierarchy uniqueName="[Emp_Data].[Basic_Salary]" caption="Basic_Salary" attribute="1" defaultMemberUniqueName="[Emp_Data].[Basic_Salary].[All]" allUniqueName="[Emp_Data].[Basic_Salary].[All]" dimensionUniqueName="[Emp_Data]" displayFolder="" count="0" memberValueDatatype="20" unbalanced="0"/>
    <cacheHierarchy uniqueName="[Emp_Data].[Status]" caption="Status" attribute="1" defaultMemberUniqueName="[Emp_Data].[Status].[All]" allUniqueName="[Emp_Data].[Status].[All]" dimensionUniqueName="[Emp_Data]" displayFolder="" count="0" memberValueDatatype="130" unbalanced="0"/>
    <cacheHierarchy uniqueName="[Emp_Data].[Check_In]" caption="Check_In" attribute="1" defaultMemberUniqueName="[Emp_Data].[Check_In].[All]" allUniqueName="[Emp_Data].[Check_In].[All]" dimensionUniqueName="[Emp_Data]" displayFolder="" count="0" memberValueDatatype="130" unbalanced="0"/>
    <cacheHierarchy uniqueName="[Emp_Data].[Check_Out]" caption="Check_Out" attribute="1" defaultMemberUniqueName="[Emp_Data].[Check_Out].[All]" allUniqueName="[Emp_Data].[Check_Out].[All]" dimensionUniqueName="[Emp_Data]" displayFolder="" count="0" memberValueDatatype="130" unbalanced="0"/>
    <cacheHierarchy uniqueName="[Emp_Data].[Leave_Type]" caption="Leave_Type" attribute="1" defaultMemberUniqueName="[Emp_Data].[Leave_Type].[All]" allUniqueName="[Emp_Data].[Leave_Type].[All]" dimensionUniqueName="[Emp_Data]" displayFolder="" count="0" memberValueDatatype="130" unbalanced="0"/>
    <cacheHierarchy uniqueName="[Emp_Data].[Basic_Salary.1]" caption="Basic_Salary.1" attribute="1" defaultMemberUniqueName="[Emp_Data].[Basic_Salary.1].[All]" allUniqueName="[Emp_Data].[Basic_Salary.1].[All]" dimensionUniqueName="[Emp_Data]" displayFolder="" count="0" memberValueDatatype="20" unbalanced="0"/>
    <cacheHierarchy uniqueName="[Emp_Data].[HRA]" caption="HRA" attribute="1" defaultMemberUniqueName="[Emp_Data].[HRA].[All]" allUniqueName="[Emp_Data].[HRA].[All]" dimensionUniqueName="[Emp_Data]" displayFolder="" count="0" memberValueDatatype="20" unbalanced="0"/>
    <cacheHierarchy uniqueName="[Emp_Data].[Conveyance]" caption="Conveyance" attribute="1" defaultMemberUniqueName="[Emp_Data].[Conveyance].[All]" allUniqueName="[Emp_Data].[Conveyance].[All]" dimensionUniqueName="[Emp_Data]" displayFolder="" count="0" memberValueDatatype="20" unbalanced="0"/>
    <cacheHierarchy uniqueName="[Emp_Data].[Medical_Allowance]" caption="Medical_Allowance" attribute="1" defaultMemberUniqueName="[Emp_Data].[Medical_Allowance].[All]" allUniqueName="[Emp_Data].[Medical_Allowance].[All]" dimensionUniqueName="[Emp_Data]" displayFolder="" count="0" memberValueDatatype="20" unbalanced="0"/>
    <cacheHierarchy uniqueName="[Emp_Data].[Special_Allowance]" caption="Special_Allowance" attribute="1" defaultMemberUniqueName="[Emp_Data].[Special_Allowance].[All]" allUniqueName="[Emp_Data].[Special_Allowance].[All]" dimensionUniqueName="[Emp_Data]" displayFolder="" count="0" memberValueDatatype="20" unbalanced="0"/>
    <cacheHierarchy uniqueName="[Emp_Data].[OT_Hours]" caption="OT_Hours" attribute="1" defaultMemberUniqueName="[Emp_Data].[OT_Hours].[All]" allUniqueName="[Emp_Data].[OT_Hours].[All]" dimensionUniqueName="[Emp_Data]" displayFolder="" count="0" memberValueDatatype="20" unbalanced="0"/>
    <cacheHierarchy uniqueName="[Emp_Data].[OT_Amount]" caption="OT_Amount" attribute="1" defaultMemberUniqueName="[Emp_Data].[OT_Amount].[All]" allUniqueName="[Emp_Data].[OT_Amount].[All]" dimensionUniqueName="[Emp_Data]" displayFolder="" count="0" memberValueDatatype="20" unbalanced="0"/>
    <cacheHierarchy uniqueName="[Emp_Data].[Gross_Salary]" caption="Gross_Salary" attribute="1" defaultMemberUniqueName="[Emp_Data].[Gross_Salary].[All]" allUniqueName="[Emp_Data].[Gross_Salary].[All]" dimensionUniqueName="[Emp_Data]" displayFolder="" count="0" memberValueDatatype="20" unbalanced="0"/>
    <cacheHierarchy uniqueName="[Emp_Data].[PF]" caption="PF" attribute="1" defaultMemberUniqueName="[Emp_Data].[PF].[All]" allUniqueName="[Emp_Data].[PF].[All]" dimensionUniqueName="[Emp_Data]" displayFolder="" count="0" memberValueDatatype="20" unbalanced="0"/>
    <cacheHierarchy uniqueName="[Emp_Data].[ESI]" caption="ESI" attribute="1" defaultMemberUniqueName="[Emp_Data].[ESI].[All]" allUniqueName="[Emp_Data].[ESI].[All]" dimensionUniqueName="[Emp_Data]" displayFolder="" count="0" memberValueDatatype="20" unbalanced="0"/>
    <cacheHierarchy uniqueName="[Emp_Data].[TDS]" caption="TDS" attribute="1" defaultMemberUniqueName="[Emp_Data].[TDS].[All]" allUniqueName="[Emp_Data].[TDS].[All]" dimensionUniqueName="[Emp_Data]" displayFolder="" count="0" memberValueDatatype="20" unbalanced="0"/>
    <cacheHierarchy uniqueName="[Emp_Data].[Other_Deductions]" caption="Other_Deductions" attribute="1" defaultMemberUniqueName="[Emp_Data].[Other_Deductions].[All]" allUniqueName="[Emp_Data].[Other_Deductions].[All]" dimensionUniqueName="[Emp_Data]" displayFolder="" count="0" memberValueDatatype="20" unbalanced="0"/>
    <cacheHierarchy uniqueName="[Emp_Data].[Total_Deductions]" caption="Total_Deductions" attribute="1" defaultMemberUniqueName="[Emp_Data].[Total_Deductions].[All]" allUniqueName="[Emp_Data].[Total_Deductions].[All]" dimensionUniqueName="[Emp_Data]" displayFolder="" count="0" memberValueDatatype="20" unbalanced="0"/>
    <cacheHierarchy uniqueName="[Emp_Data].[Net_Salary]" caption="Net_Salary" attribute="1" defaultMemberUniqueName="[Emp_Data].[Net_Salary].[All]" allUniqueName="[Emp_Data].[Net_Salary].[All]" dimensionUniqueName="[Emp_Data]" displayFolder="" count="0" memberValueDatatype="20" unbalanced="0"/>
    <cacheHierarchy uniqueName="[Emp_Data].[Present_Flag]" caption="Present_Flag" attribute="1" defaultMemberUniqueName="[Emp_Data].[Present_Flag].[All]" allUniqueName="[Emp_Data].[Present_Flag].[All]" dimensionUniqueName="[Emp_Data]" displayFolder="" count="0" memberValueDatatype="20" unbalanced="0"/>
    <cacheHierarchy uniqueName="[Emp_Data].[Absent_Flag]" caption="Absent_Flag" attribute="1" defaultMemberUniqueName="[Emp_Data].[Absent_Flag].[All]" allUniqueName="[Emp_Data].[Absent_Flag].[All]" dimensionUniqueName="[Emp_Data]" displayFolder="" count="0" memberValueDatatype="20" unbalanced="0"/>
    <cacheHierarchy uniqueName="[Emp_Data].[Late_Flag]" caption="Late_Flag" attribute="1" defaultMemberUniqueName="[Emp_Data].[Late_Flag].[All]" allUniqueName="[Emp_Data].[Late_Flag].[All]" dimensionUniqueName="[Emp_Data]" displayFolder="" count="0" memberValueDatatype="20" unbalanced="0"/>
    <cacheHierarchy uniqueName="[Emp_Data].[Leave_Flag]" caption="Leave_Flag" attribute="1" defaultMemberUniqueName="[Emp_Data].[Leave_Flag].[All]" allUniqueName="[Emp_Data].[Leave_Flag].[All]" dimensionUniqueName="[Emp_Data]" displayFolder="" count="0" memberValueDatatype="20" unbalanced="0"/>
    <cacheHierarchy uniqueName="[Measures].[__XL_Count Emp_Data]" caption="__XL_Count Emp_Data" measure="1" displayFolder="" measureGroup="Emp_Data" count="0" hidden="1"/>
    <cacheHierarchy uniqueName="[Measures].[__No measures defined]" caption="__No measures defined" measure="1" displayFolder="" count="0" hidden="1"/>
    <cacheHierarchy uniqueName="[Measures].[Count of Employee_ID]" caption="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Distinct Count of Employee_ID]" caption="Distinct 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Sum of Present_Flag]" caption="Sum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Distinct Count of Present_Flag]" caption="Distinct Count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Sum of Absent_Flag]" caption="Sum of Absent_Flag" measure="1" displayFolder="" measureGroup="Emp_Data" count="0" hidden="1">
      <extLst>
        <ext xmlns:x15="http://schemas.microsoft.com/office/spreadsheetml/2010/11/main" uri="{B97F6D7D-B522-45F9-BDA1-12C45D357490}">
          <x15:cacheHierarchy aggregatedColumn="27"/>
        </ext>
      </extLst>
    </cacheHierarchy>
    <cacheHierarchy uniqueName="[Measures].[Sum of Leave_Flag]" caption="Sum of Leave_Flag" measure="1" displayFolder="" measureGroup="Emp_Data" count="0" hidden="1">
      <extLst>
        <ext xmlns:x15="http://schemas.microsoft.com/office/spreadsheetml/2010/11/main" uri="{B97F6D7D-B522-45F9-BDA1-12C45D357490}">
          <x15:cacheHierarchy aggregatedColumn="29"/>
        </ext>
      </extLst>
    </cacheHierarchy>
    <cacheHierarchy uniqueName="[Measures].[Sum of Late_Flag]" caption="Sum of Late_Flag" measure="1" displayFolder="" measureGroup="Emp_Data" count="0" hidden="1">
      <extLst>
        <ext xmlns:x15="http://schemas.microsoft.com/office/spreadsheetml/2010/11/main" uri="{B97F6D7D-B522-45F9-BDA1-12C45D357490}">
          <x15:cacheHierarchy aggregatedColumn="28"/>
        </ext>
      </extLst>
    </cacheHierarchy>
    <cacheHierarchy uniqueName="[Measures].[Sum of Gross_Salary]" caption="Sum of Gross_Salary" measure="1" displayFolder="" measureGroup="Emp_Data" count="0" hidden="1">
      <extLst>
        <ext xmlns:x15="http://schemas.microsoft.com/office/spreadsheetml/2010/11/main" uri="{B97F6D7D-B522-45F9-BDA1-12C45D357490}">
          <x15:cacheHierarchy aggregatedColumn="19"/>
        </ext>
      </extLst>
    </cacheHierarchy>
    <cacheHierarchy uniqueName="[Measures].[Sum of Net_Salary]" caption="Sum of Net_Salary" measure="1" displayFolder="" measureGroup="Emp_Data" count="0" hidden="1">
      <extLst>
        <ext xmlns:x15="http://schemas.microsoft.com/office/spreadsheetml/2010/11/main" uri="{B97F6D7D-B522-45F9-BDA1-12C45D357490}">
          <x15:cacheHierarchy aggregatedColumn="25"/>
        </ext>
      </extLst>
    </cacheHierarchy>
    <cacheHierarchy uniqueName="[Measures].[Sum of OT_Hours]" caption="Sum of OT_Hours" measure="1" displayFolder="" measureGroup="Emp_Data" count="0" hidden="1">
      <extLst>
        <ext xmlns:x15="http://schemas.microsoft.com/office/spreadsheetml/2010/11/main" uri="{B97F6D7D-B522-45F9-BDA1-12C45D357490}">
          <x15:cacheHierarchy aggregatedColumn="17"/>
        </ext>
      </extLst>
    </cacheHierarchy>
    <cacheHierarchy uniqueName="[Measures].[Sum of OT_Amount]" caption="Sum of OT_Amount" measure="1" displayFolder="" measureGroup="Emp_Data"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Leave_Type]" caption="Count of Leave_Type" measure="1" displayFolder="" measureGroup="Emp_Data" count="0" hidden="1">
      <extLst>
        <ext xmlns:x15="http://schemas.microsoft.com/office/spreadsheetml/2010/11/main" uri="{B97F6D7D-B522-45F9-BDA1-12C45D357490}">
          <x15:cacheHierarchy aggregatedColumn="11"/>
        </ext>
      </extLst>
    </cacheHierarchy>
    <cacheHierarchy uniqueName="[Measures].[Sum of PF]" caption="Sum of PF" measure="1" displayFolder="" measureGroup="Emp_Data" count="0" hidden="1">
      <extLst>
        <ext xmlns:x15="http://schemas.microsoft.com/office/spreadsheetml/2010/11/main" uri="{B97F6D7D-B522-45F9-BDA1-12C45D357490}">
          <x15:cacheHierarchy aggregatedColumn="20"/>
        </ext>
      </extLst>
    </cacheHierarchy>
    <cacheHierarchy uniqueName="[Measures].[Sum of ESI]" caption="Sum of ESI" measure="1" displayFolder="" measureGroup="Emp_Data" count="0" hidden="1">
      <extLst>
        <ext xmlns:x15="http://schemas.microsoft.com/office/spreadsheetml/2010/11/main" uri="{B97F6D7D-B522-45F9-BDA1-12C45D357490}">
          <x15:cacheHierarchy aggregatedColumn="21"/>
        </ext>
      </extLst>
    </cacheHierarchy>
    <cacheHierarchy uniqueName="[Measures].[Sum of TDS]" caption="Sum of TDS" measure="1" displayFolder="" measureGroup="Emp_Data" count="0" hidden="1">
      <extLst>
        <ext xmlns:x15="http://schemas.microsoft.com/office/spreadsheetml/2010/11/main" uri="{B97F6D7D-B522-45F9-BDA1-12C45D357490}">
          <x15:cacheHierarchy aggregatedColumn="22"/>
        </ext>
      </extLst>
    </cacheHierarchy>
    <cacheHierarchy uniqueName="[Measures].[Sum of Other_Deductions]" caption="Sum of Other_Deductions" measure="1" displayFolder="" measureGroup="Emp_Data" count="0" hidden="1">
      <extLst>
        <ext xmlns:x15="http://schemas.microsoft.com/office/spreadsheetml/2010/11/main" uri="{B97F6D7D-B522-45F9-BDA1-12C45D357490}">
          <x15:cacheHierarchy aggregatedColumn="23"/>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SH JADHAV" refreshedDate="46280.373689583335" backgroundQuery="1" createdVersion="3" refreshedVersion="8" minRefreshableVersion="3" recordCount="0" supportSubquery="1" supportAdvancedDrill="1" xr:uid="{48318EED-00FD-47D7-B465-B3179F5E5FB3}">
  <cacheSource type="external" connectionId="6">
    <extLst>
      <ext xmlns:x14="http://schemas.microsoft.com/office/spreadsheetml/2009/9/main" uri="{F057638F-6D5F-4e77-A914-E7F072B9BCA8}">
        <x14:sourceConnection name="ThisWorkbookDataModel"/>
      </ext>
    </extLst>
  </cacheSource>
  <cacheFields count="0"/>
  <cacheHierarchies count="48">
    <cacheHierarchy uniqueName="[Emp_Data].[Date]" caption="Date" attribute="1" time="1" defaultMemberUniqueName="[Emp_Data].[Date].[All]" allUniqueName="[Emp_Data].[Date].[All]" dimensionUniqueName="[Emp_Data]" displayFolder="" count="0" memberValueDatatype="7" unbalanced="0"/>
    <cacheHierarchy uniqueName="[Emp_Data].[Employee_ID]" caption="Employee_ID" attribute="1" defaultMemberUniqueName="[Emp_Data].[Employee_ID].[All]" allUniqueName="[Emp_Data].[Employee_ID].[All]" dimensionUniqueName="[Emp_Data]" displayFolder="" count="2" memberValueDatatype="130" unbalanced="0"/>
    <cacheHierarchy uniqueName="[Emp_Data].[Employee_Name]" caption="Employee_Name" attribute="1" defaultMemberUniqueName="[Emp_Data].[Employee_Name].[All]" allUniqueName="[Emp_Data].[Employee_Name].[All]" dimensionUniqueName="[Emp_Data]" displayFolder="" count="0" memberValueDatatype="130" unbalanced="0"/>
    <cacheHierarchy uniqueName="[Emp_Data].[Department]" caption="Department" attribute="1" defaultMemberUniqueName="[Emp_Data].[Department].[All]" allUniqueName="[Emp_Data].[Department].[All]" dimensionUniqueName="[Emp_Data]" displayFolder="" count="2" memberValueDatatype="130" unbalanced="0"/>
    <cacheHierarchy uniqueName="[Emp_Data].[Location]" caption="Location" attribute="1" defaultMemberUniqueName="[Emp_Data].[Location].[All]" allUniqueName="[Emp_Data].[Location].[All]" dimensionUniqueName="[Emp_Data]" displayFolder="" count="2" memberValueDatatype="130" unbalanced="0"/>
    <cacheHierarchy uniqueName="[Emp_Data].[Employee_Type]" caption="Employee_Type" attribute="1" defaultMemberUniqueName="[Emp_Data].[Employee_Type].[All]" allUniqueName="[Emp_Data].[Employee_Type].[All]" dimensionUniqueName="[Emp_Data]" displayFolder="" count="2" memberValueDatatype="130" unbalanced="0"/>
    <cacheHierarchy uniqueName="[Emp_Data].[Date_of_Joining]" caption="Date_of_Joining" attribute="1" time="1" defaultMemberUniqueName="[Emp_Data].[Date_of_Joining].[All]" allUniqueName="[Emp_Data].[Date_of_Joining].[All]" dimensionUniqueName="[Emp_Data]" displayFolder="" count="0" memberValueDatatype="7" unbalanced="0"/>
    <cacheHierarchy uniqueName="[Emp_Data].[Basic_Salary]" caption="Basic_Salary" attribute="1" defaultMemberUniqueName="[Emp_Data].[Basic_Salary].[All]" allUniqueName="[Emp_Data].[Basic_Salary].[All]" dimensionUniqueName="[Emp_Data]" displayFolder="" count="0" memberValueDatatype="20" unbalanced="0"/>
    <cacheHierarchy uniqueName="[Emp_Data].[Status]" caption="Status" attribute="1" defaultMemberUniqueName="[Emp_Data].[Status].[All]" allUniqueName="[Emp_Data].[Status].[All]" dimensionUniqueName="[Emp_Data]" displayFolder="" count="0" memberValueDatatype="130" unbalanced="0"/>
    <cacheHierarchy uniqueName="[Emp_Data].[Check_In]" caption="Check_In" attribute="1" defaultMemberUniqueName="[Emp_Data].[Check_In].[All]" allUniqueName="[Emp_Data].[Check_In].[All]" dimensionUniqueName="[Emp_Data]" displayFolder="" count="0" memberValueDatatype="130" unbalanced="0"/>
    <cacheHierarchy uniqueName="[Emp_Data].[Check_Out]" caption="Check_Out" attribute="1" defaultMemberUniqueName="[Emp_Data].[Check_Out].[All]" allUniqueName="[Emp_Data].[Check_Out].[All]" dimensionUniqueName="[Emp_Data]" displayFolder="" count="0" memberValueDatatype="130" unbalanced="0"/>
    <cacheHierarchy uniqueName="[Emp_Data].[Leave_Type]" caption="Leave_Type" attribute="1" defaultMemberUniqueName="[Emp_Data].[Leave_Type].[All]" allUniqueName="[Emp_Data].[Leave_Type].[All]" dimensionUniqueName="[Emp_Data]" displayFolder="" count="0" memberValueDatatype="130" unbalanced="0"/>
    <cacheHierarchy uniqueName="[Emp_Data].[Basic_Salary.1]" caption="Basic_Salary.1" attribute="1" defaultMemberUniqueName="[Emp_Data].[Basic_Salary.1].[All]" allUniqueName="[Emp_Data].[Basic_Salary.1].[All]" dimensionUniqueName="[Emp_Data]" displayFolder="" count="0" memberValueDatatype="20" unbalanced="0"/>
    <cacheHierarchy uniqueName="[Emp_Data].[HRA]" caption="HRA" attribute="1" defaultMemberUniqueName="[Emp_Data].[HRA].[All]" allUniqueName="[Emp_Data].[HRA].[All]" dimensionUniqueName="[Emp_Data]" displayFolder="" count="0" memberValueDatatype="20" unbalanced="0"/>
    <cacheHierarchy uniqueName="[Emp_Data].[Conveyance]" caption="Conveyance" attribute="1" defaultMemberUniqueName="[Emp_Data].[Conveyance].[All]" allUniqueName="[Emp_Data].[Conveyance].[All]" dimensionUniqueName="[Emp_Data]" displayFolder="" count="0" memberValueDatatype="20" unbalanced="0"/>
    <cacheHierarchy uniqueName="[Emp_Data].[Medical_Allowance]" caption="Medical_Allowance" attribute="1" defaultMemberUniqueName="[Emp_Data].[Medical_Allowance].[All]" allUniqueName="[Emp_Data].[Medical_Allowance].[All]" dimensionUniqueName="[Emp_Data]" displayFolder="" count="0" memberValueDatatype="20" unbalanced="0"/>
    <cacheHierarchy uniqueName="[Emp_Data].[Special_Allowance]" caption="Special_Allowance" attribute="1" defaultMemberUniqueName="[Emp_Data].[Special_Allowance].[All]" allUniqueName="[Emp_Data].[Special_Allowance].[All]" dimensionUniqueName="[Emp_Data]" displayFolder="" count="0" memberValueDatatype="20" unbalanced="0"/>
    <cacheHierarchy uniqueName="[Emp_Data].[OT_Hours]" caption="OT_Hours" attribute="1" defaultMemberUniqueName="[Emp_Data].[OT_Hours].[All]" allUniqueName="[Emp_Data].[OT_Hours].[All]" dimensionUniqueName="[Emp_Data]" displayFolder="" count="0" memberValueDatatype="20" unbalanced="0"/>
    <cacheHierarchy uniqueName="[Emp_Data].[OT_Amount]" caption="OT_Amount" attribute="1" defaultMemberUniqueName="[Emp_Data].[OT_Amount].[All]" allUniqueName="[Emp_Data].[OT_Amount].[All]" dimensionUniqueName="[Emp_Data]" displayFolder="" count="0" memberValueDatatype="20" unbalanced="0"/>
    <cacheHierarchy uniqueName="[Emp_Data].[Gross_Salary]" caption="Gross_Salary" attribute="1" defaultMemberUniqueName="[Emp_Data].[Gross_Salary].[All]" allUniqueName="[Emp_Data].[Gross_Salary].[All]" dimensionUniqueName="[Emp_Data]" displayFolder="" count="0" memberValueDatatype="20" unbalanced="0"/>
    <cacheHierarchy uniqueName="[Emp_Data].[PF]" caption="PF" attribute="1" defaultMemberUniqueName="[Emp_Data].[PF].[All]" allUniqueName="[Emp_Data].[PF].[All]" dimensionUniqueName="[Emp_Data]" displayFolder="" count="0" memberValueDatatype="20" unbalanced="0"/>
    <cacheHierarchy uniqueName="[Emp_Data].[ESI]" caption="ESI" attribute="1" defaultMemberUniqueName="[Emp_Data].[ESI].[All]" allUniqueName="[Emp_Data].[ESI].[All]" dimensionUniqueName="[Emp_Data]" displayFolder="" count="0" memberValueDatatype="20" unbalanced="0"/>
    <cacheHierarchy uniqueName="[Emp_Data].[TDS]" caption="TDS" attribute="1" defaultMemberUniqueName="[Emp_Data].[TDS].[All]" allUniqueName="[Emp_Data].[TDS].[All]" dimensionUniqueName="[Emp_Data]" displayFolder="" count="0" memberValueDatatype="20" unbalanced="0"/>
    <cacheHierarchy uniqueName="[Emp_Data].[Other_Deductions]" caption="Other_Deductions" attribute="1" defaultMemberUniqueName="[Emp_Data].[Other_Deductions].[All]" allUniqueName="[Emp_Data].[Other_Deductions].[All]" dimensionUniqueName="[Emp_Data]" displayFolder="" count="0" memberValueDatatype="20" unbalanced="0"/>
    <cacheHierarchy uniqueName="[Emp_Data].[Total_Deductions]" caption="Total_Deductions" attribute="1" defaultMemberUniqueName="[Emp_Data].[Total_Deductions].[All]" allUniqueName="[Emp_Data].[Total_Deductions].[All]" dimensionUniqueName="[Emp_Data]" displayFolder="" count="0" memberValueDatatype="20" unbalanced="0"/>
    <cacheHierarchy uniqueName="[Emp_Data].[Net_Salary]" caption="Net_Salary" attribute="1" defaultMemberUniqueName="[Emp_Data].[Net_Salary].[All]" allUniqueName="[Emp_Data].[Net_Salary].[All]" dimensionUniqueName="[Emp_Data]" displayFolder="" count="0" memberValueDatatype="20" unbalanced="0"/>
    <cacheHierarchy uniqueName="[Emp_Data].[Present_Flag]" caption="Present_Flag" attribute="1" defaultMemberUniqueName="[Emp_Data].[Present_Flag].[All]" allUniqueName="[Emp_Data].[Present_Flag].[All]" dimensionUniqueName="[Emp_Data]" displayFolder="" count="0" memberValueDatatype="20" unbalanced="0"/>
    <cacheHierarchy uniqueName="[Emp_Data].[Absent_Flag]" caption="Absent_Flag" attribute="1" defaultMemberUniqueName="[Emp_Data].[Absent_Flag].[All]" allUniqueName="[Emp_Data].[Absent_Flag].[All]" dimensionUniqueName="[Emp_Data]" displayFolder="" count="0" memberValueDatatype="20" unbalanced="0"/>
    <cacheHierarchy uniqueName="[Emp_Data].[Late_Flag]" caption="Late_Flag" attribute="1" defaultMemberUniqueName="[Emp_Data].[Late_Flag].[All]" allUniqueName="[Emp_Data].[Late_Flag].[All]" dimensionUniqueName="[Emp_Data]" displayFolder="" count="0" memberValueDatatype="20" unbalanced="0"/>
    <cacheHierarchy uniqueName="[Emp_Data].[Leave_Flag]" caption="Leave_Flag" attribute="1" defaultMemberUniqueName="[Emp_Data].[Leave_Flag].[All]" allUniqueName="[Emp_Data].[Leave_Flag].[All]" dimensionUniqueName="[Emp_Data]" displayFolder="" count="0" memberValueDatatype="20" unbalanced="0"/>
    <cacheHierarchy uniqueName="[Measures].[__XL_Count Emp_Data]" caption="__XL_Count Emp_Data" measure="1" displayFolder="" measureGroup="Emp_Data" count="0" hidden="1"/>
    <cacheHierarchy uniqueName="[Measures].[__No measures defined]" caption="__No measures defined" measure="1" displayFolder="" count="0" hidden="1"/>
    <cacheHierarchy uniqueName="[Measures].[Count of Employee_ID]" caption="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Distinct Count of Employee_ID]" caption="Distinct Count of Employee_ID" measure="1" displayFolder="" measureGroup="Emp_Data" count="0" hidden="1">
      <extLst>
        <ext xmlns:x15="http://schemas.microsoft.com/office/spreadsheetml/2010/11/main" uri="{B97F6D7D-B522-45F9-BDA1-12C45D357490}">
          <x15:cacheHierarchy aggregatedColumn="1"/>
        </ext>
      </extLst>
    </cacheHierarchy>
    <cacheHierarchy uniqueName="[Measures].[Sum of Present_Flag]" caption="Sum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Distinct Count of Present_Flag]" caption="Distinct Count of Present_Flag" measure="1" displayFolder="" measureGroup="Emp_Data" count="0" hidden="1">
      <extLst>
        <ext xmlns:x15="http://schemas.microsoft.com/office/spreadsheetml/2010/11/main" uri="{B97F6D7D-B522-45F9-BDA1-12C45D357490}">
          <x15:cacheHierarchy aggregatedColumn="26"/>
        </ext>
      </extLst>
    </cacheHierarchy>
    <cacheHierarchy uniqueName="[Measures].[Sum of Absent_Flag]" caption="Sum of Absent_Flag" measure="1" displayFolder="" measureGroup="Emp_Data" count="0" hidden="1">
      <extLst>
        <ext xmlns:x15="http://schemas.microsoft.com/office/spreadsheetml/2010/11/main" uri="{B97F6D7D-B522-45F9-BDA1-12C45D357490}">
          <x15:cacheHierarchy aggregatedColumn="27"/>
        </ext>
      </extLst>
    </cacheHierarchy>
    <cacheHierarchy uniqueName="[Measures].[Sum of Leave_Flag]" caption="Sum of Leave_Flag" measure="1" displayFolder="" measureGroup="Emp_Data" count="0" hidden="1">
      <extLst>
        <ext xmlns:x15="http://schemas.microsoft.com/office/spreadsheetml/2010/11/main" uri="{B97F6D7D-B522-45F9-BDA1-12C45D357490}">
          <x15:cacheHierarchy aggregatedColumn="29"/>
        </ext>
      </extLst>
    </cacheHierarchy>
    <cacheHierarchy uniqueName="[Measures].[Sum of Late_Flag]" caption="Sum of Late_Flag" measure="1" displayFolder="" measureGroup="Emp_Data" count="0" hidden="1">
      <extLst>
        <ext xmlns:x15="http://schemas.microsoft.com/office/spreadsheetml/2010/11/main" uri="{B97F6D7D-B522-45F9-BDA1-12C45D357490}">
          <x15:cacheHierarchy aggregatedColumn="28"/>
        </ext>
      </extLst>
    </cacheHierarchy>
    <cacheHierarchy uniqueName="[Measures].[Sum of Gross_Salary]" caption="Sum of Gross_Salary" measure="1" displayFolder="" measureGroup="Emp_Data" count="0" hidden="1">
      <extLst>
        <ext xmlns:x15="http://schemas.microsoft.com/office/spreadsheetml/2010/11/main" uri="{B97F6D7D-B522-45F9-BDA1-12C45D357490}">
          <x15:cacheHierarchy aggregatedColumn="19"/>
        </ext>
      </extLst>
    </cacheHierarchy>
    <cacheHierarchy uniqueName="[Measures].[Sum of Net_Salary]" caption="Sum of Net_Salary" measure="1" displayFolder="" measureGroup="Emp_Data" count="0" hidden="1">
      <extLst>
        <ext xmlns:x15="http://schemas.microsoft.com/office/spreadsheetml/2010/11/main" uri="{B97F6D7D-B522-45F9-BDA1-12C45D357490}">
          <x15:cacheHierarchy aggregatedColumn="25"/>
        </ext>
      </extLst>
    </cacheHierarchy>
    <cacheHierarchy uniqueName="[Measures].[Sum of OT_Hours]" caption="Sum of OT_Hours" measure="1" displayFolder="" measureGroup="Emp_Data" count="0" hidden="1">
      <extLst>
        <ext xmlns:x15="http://schemas.microsoft.com/office/spreadsheetml/2010/11/main" uri="{B97F6D7D-B522-45F9-BDA1-12C45D357490}">
          <x15:cacheHierarchy aggregatedColumn="17"/>
        </ext>
      </extLst>
    </cacheHierarchy>
    <cacheHierarchy uniqueName="[Measures].[Sum of OT_Amount]" caption="Sum of OT_Amount" measure="1" displayFolder="" measureGroup="Emp_Data" count="0" hidden="1">
      <extLst>
        <ext xmlns:x15="http://schemas.microsoft.com/office/spreadsheetml/2010/11/main" uri="{B97F6D7D-B522-45F9-BDA1-12C45D357490}">
          <x15:cacheHierarchy aggregatedColumn="18"/>
        </ext>
      </extLst>
    </cacheHierarchy>
    <cacheHierarchy uniqueName="[Measures].[Count of Leave_Type]" caption="Count of Leave_Type" measure="1" displayFolder="" measureGroup="Emp_Data" count="0" hidden="1">
      <extLst>
        <ext xmlns:x15="http://schemas.microsoft.com/office/spreadsheetml/2010/11/main" uri="{B97F6D7D-B522-45F9-BDA1-12C45D357490}">
          <x15:cacheHierarchy aggregatedColumn="11"/>
        </ext>
      </extLst>
    </cacheHierarchy>
    <cacheHierarchy uniqueName="[Measures].[Sum of PF]" caption="Sum of PF" measure="1" displayFolder="" measureGroup="Emp_Data" count="0" hidden="1">
      <extLst>
        <ext xmlns:x15="http://schemas.microsoft.com/office/spreadsheetml/2010/11/main" uri="{B97F6D7D-B522-45F9-BDA1-12C45D357490}">
          <x15:cacheHierarchy aggregatedColumn="20"/>
        </ext>
      </extLst>
    </cacheHierarchy>
    <cacheHierarchy uniqueName="[Measures].[Sum of ESI]" caption="Sum of ESI" measure="1" displayFolder="" measureGroup="Emp_Data" count="0" hidden="1">
      <extLst>
        <ext xmlns:x15="http://schemas.microsoft.com/office/spreadsheetml/2010/11/main" uri="{B97F6D7D-B522-45F9-BDA1-12C45D357490}">
          <x15:cacheHierarchy aggregatedColumn="21"/>
        </ext>
      </extLst>
    </cacheHierarchy>
    <cacheHierarchy uniqueName="[Measures].[Sum of TDS]" caption="Sum of TDS" measure="1" displayFolder="" measureGroup="Emp_Data" count="0" hidden="1">
      <extLst>
        <ext xmlns:x15="http://schemas.microsoft.com/office/spreadsheetml/2010/11/main" uri="{B97F6D7D-B522-45F9-BDA1-12C45D357490}">
          <x15:cacheHierarchy aggregatedColumn="22"/>
        </ext>
      </extLst>
    </cacheHierarchy>
    <cacheHierarchy uniqueName="[Measures].[Sum of Other_Deductions]" caption="Sum of Other_Deductions" measure="1" displayFolder="" measureGroup="Emp_Data"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5867250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327B37-3C6A-4E22-B835-392B0CBE5585}" name="PivotTable14"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99:B105"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Gross_Salary" fld="1" baseField="0" baseItem="0" numFmtId="165"/>
  </dataFields>
  <formats count="2">
    <format dxfId="1">
      <pivotArea outline="0" collapsedLevelsAreSubtotals="1" fieldPosition="0"/>
    </format>
    <format dxfId="0">
      <pivotArea dataOnly="0" labelOnly="1" outline="0" axis="axisValues" fieldPosition="0"/>
    </format>
  </formats>
  <chartFormats count="1">
    <chartFormat chart="10" format="4"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loyee_ID"/>
    <pivotHierarchy dragToData="1"/>
    <pivotHierarchy dragToData="1"/>
    <pivotHierarchy dragToData="1"/>
    <pivotHierarchy dragToData="1"/>
    <pivotHierarchy dragToData="1"/>
    <pivotHierarchy dragToData="1" caption=" Gross_Salary"/>
    <pivotHierarchy dragToData="1" caption="Net Salary"/>
    <pivotHierarchy dragToData="1" caption="Total  OT_Hours"/>
    <pivotHierarchy dragToData="1" caption="Total  OT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B93419-17FE-40F6-A8B2-D7C7D7D3B7B5}" name="PivotTable8"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0:B16" firstHeaderRow="1" firstDataRow="1" firstDataCol="1"/>
  <pivotFields count="2">
    <pivotField axis="axisRow" allDrilled="1" subtotalTop="0" showAll="0" sortType="ascending"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Distinct Count of Employee_ID" fld="1" subtotal="count" baseField="0" baseItem="1">
      <extLst>
        <ext xmlns:x15="http://schemas.microsoft.com/office/spreadsheetml/2010/11/main" uri="{FABC7310-3BB5-11E1-824E-6D434824019B}">
          <x15:dataField isCountDistinct="1"/>
        </ext>
      </extLst>
    </dataField>
  </dataFields>
  <formats count="1">
    <format dxfId="2">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0" count="1" selected="0">
            <x v="0"/>
          </reference>
        </references>
      </pivotArea>
    </chartFormat>
    <chartFormat chart="2" format="15">
      <pivotArea type="data" outline="0" fieldPosition="0">
        <references count="2">
          <reference field="4294967294" count="1" selected="0">
            <x v="0"/>
          </reference>
          <reference field="0" count="1" selected="0">
            <x v="1"/>
          </reference>
        </references>
      </pivotArea>
    </chartFormat>
    <chartFormat chart="2" format="16">
      <pivotArea type="data" outline="0" fieldPosition="0">
        <references count="2">
          <reference field="4294967294" count="1" selected="0">
            <x v="0"/>
          </reference>
          <reference field="0" count="1" selected="0">
            <x v="2"/>
          </reference>
        </references>
      </pivotArea>
    </chartFormat>
    <chartFormat chart="2" format="17">
      <pivotArea type="data" outline="0" fieldPosition="0">
        <references count="2">
          <reference field="4294967294" count="1" selected="0">
            <x v="0"/>
          </reference>
          <reference field="0" count="1" selected="0">
            <x v="3"/>
          </reference>
        </references>
      </pivotArea>
    </chartFormat>
    <chartFormat chart="2" format="18">
      <pivotArea type="data" outline="0" fieldPosition="0">
        <references count="2">
          <reference field="4294967294" count="1" selected="0">
            <x v="0"/>
          </reference>
          <reference field="0" count="1" selected="0">
            <x v="4"/>
          </reference>
        </references>
      </pivotArea>
    </chartFormat>
  </chartFormats>
  <pivotHierarchies count="48">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loyee_ID"/>
    <pivotHierarchy dragToData="1"/>
    <pivotHierarchy dragToData="1"/>
    <pivotHierarchy dragToData="1"/>
    <pivotHierarchy dragToData="1"/>
    <pivotHierarchy dragToData="1"/>
    <pivotHierarchy dragToData="1" caption=" Gross_Salary"/>
    <pivotHierarchy dragToData="1" caption="Net Salary"/>
    <pivotHierarchy dragToData="1" caption="Total  OT_Hours"/>
    <pivotHierarchy dragToData="1" caption="Total  OT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1953C6-17B7-43BE-B37B-2F2AC64121D0}" name="PivotTable15"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10:B116"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Net_Salary" fld="1" baseField="0" baseItem="0" numFmtId="165"/>
  </dataFields>
  <formats count="1">
    <format dxfId="3">
      <pivotArea outline="0" collapsedLevelsAreSubtotals="1" fieldPosition="0"/>
    </format>
  </format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loyee_ID"/>
    <pivotHierarchy dragToData="1"/>
    <pivotHierarchy dragToData="1"/>
    <pivotHierarchy dragToData="1"/>
    <pivotHierarchy dragToData="1"/>
    <pivotHierarchy dragToData="1"/>
    <pivotHierarchy dragToData="1" caption=" Gross_Salary"/>
    <pivotHierarchy dragToData="1" caption="Net Salary"/>
    <pivotHierarchy dragToData="1" caption="Total  OT_Hours"/>
    <pivotHierarchy dragToData="1" caption="Total  OT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D71F39-E7CC-4DB5-A49F-997948382ADA}" name="PivotTable1"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9:E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OT_Amount" fld="0" baseField="0" baseItem="0" numFmtId="165"/>
  </dataFields>
  <formats count="1">
    <format dxfId="4">
      <pivotArea outline="0" collapsedLevelsAreSubtotals="1" fieldPosition="0"/>
    </format>
  </formats>
  <pivotHierarchies count="48">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 Gross_Salary"/>
    <pivotHierarchy dragToData="1" caption="Net Sala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7E7FC7-4EB8-4CA1-8B68-B162D57835C6}" name="PivotTable10"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2:B55" firstHeaderRow="1" firstDataRow="1" firstDataCol="1"/>
  <pivotFields count="3">
    <pivotField dataField="1" subtotalTop="0" showAll="0" defaultSubtotal="0"/>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llDrilled="1" subtotalTop="0" showAll="0" dataSourceSort="1" defaultSubtotal="0" defaultAttributeDrillState="1"/>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Present_Flag" fld="0" baseField="0" baseItem="0"/>
  </dataFields>
  <formats count="1">
    <format dxfId="5">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13"/>
          </reference>
        </references>
      </pivotArea>
    </chartFormat>
  </chartFormats>
  <pivotHierarchies count="48">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loyee_ID"/>
    <pivotHierarchy dragToData="1"/>
    <pivotHierarchy dragToData="1"/>
    <pivotHierarchy dragToData="1"/>
    <pivotHierarchy dragToData="1"/>
    <pivotHierarchy dragToData="1"/>
    <pivotHierarchy dragToData="1" caption=" Gross_Salary"/>
    <pivotHierarchy dragToData="1" caption="Net Salary"/>
    <pivotHierarchy dragToData="1" caption="Total  OT_Hours"/>
    <pivotHierarchy dragToData="1" caption="Total  OT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D466C6-7231-46F8-AD61-5A216A404DF2}" name="PivotTable1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Location ">
  <location ref="A68:E73" firstHeaderRow="0" firstDataRow="1" firstDataCol="1"/>
  <pivotFields count="6">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4">
    <i>
      <x/>
    </i>
    <i i="1">
      <x v="1"/>
    </i>
    <i i="2">
      <x v="2"/>
    </i>
    <i i="3">
      <x v="3"/>
    </i>
  </colItems>
  <dataFields count="4">
    <dataField name="Present Days " fld="0" baseField="0" baseItem="0"/>
    <dataField name=" Absent Days" fld="2" baseField="0" baseItem="0"/>
    <dataField name="Leave Days" fld="4" baseField="0" baseItem="0"/>
    <dataField name="Late Days" fld="3" baseField="0" baseItem="0"/>
  </dataFields>
  <formats count="1">
    <format dxfId="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loyee_ID"/>
    <pivotHierarchy dragToData="1" caption="Present Days "/>
    <pivotHierarchy dragToData="1"/>
    <pivotHierarchy dragToData="1" caption=" Absent Days"/>
    <pivotHierarchy dragToData="1" caption="Leave Days"/>
    <pivotHierarchy dragToData="1" caption="Late Days"/>
    <pivotHierarchy dragToData="1" caption=" Gross_Salary"/>
    <pivotHierarchy dragToData="1" caption="Net Salary"/>
    <pivotHierarchy dragToData="1" caption="Total  OT_Hours"/>
    <pivotHierarchy dragToData="1" caption="Total  OT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28CD14-6DCE-4C50-A07C-39A84D7E9585}" name="Net Salary"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6:E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et Salary" fld="0" baseField="0" baseItem="0" numFmtId="165"/>
  </dataFields>
  <formats count="1">
    <format dxfId="7">
      <pivotArea outline="0" collapsedLevelsAreSubtotals="1" fieldPosition="0"/>
    </format>
  </formats>
  <pivotHierarchies count="48">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 Gross_Salary"/>
    <pivotHierarchy dragToData="1" caption="Net Sala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4A237C-5613-45F5-8F11-ABD08EF93D82}" name="Total OT Hours"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6:G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T_Hours" fld="0" baseField="0" baseItem="0"/>
  </dataFields>
  <formats count="4">
    <format dxfId="11">
      <pivotArea outline="0" collapsedLevelsAreSubtotals="1" fieldPosition="0"/>
    </format>
    <format dxfId="10">
      <pivotArea type="all" dataOnly="0" outline="0" fieldPosition="0"/>
    </format>
    <format dxfId="9">
      <pivotArea outline="0" collapsedLevelsAreSubtotals="1" fieldPosition="0"/>
    </format>
    <format dxfId="8">
      <pivotArea dataOnly="0" labelOnly="1" outline="0" axis="axisValues" fieldPosition="0"/>
    </format>
  </formats>
  <pivotHierarchies count="48">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 Gross_Salary"/>
    <pivotHierarchy dragToData="1" caption="Net Salary"/>
    <pivotHierarchy dragToData="1" caption="Total  OT_Hou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A63484-BC80-4AE8-8DE4-154756B36FBC}" name="Total Late days"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Total Employee" fld="0" subtotal="count" baseField="0" baseItem="0">
      <extLst>
        <ext xmlns:x15="http://schemas.microsoft.com/office/spreadsheetml/2010/11/main" uri="{FABC7310-3BB5-11E1-824E-6D434824019B}">
          <x15:dataField isCountDistinct="1"/>
        </ext>
      </extLst>
    </dataField>
    <dataField name="Total Leave days" fld="3" baseField="0" baseItem="0"/>
    <dataField name="Total Present Days" fld="1" baseField="0" baseItem="1"/>
    <dataField name="Total Absemt Days" fld="2" baseField="0" baseItem="0"/>
    <dataField name="Total Late Days" fld="4" baseField="0" baseItem="0"/>
  </dataFields>
  <pivotHierarchies count="48">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Employee"/>
    <pivotHierarchy dragToData="1" caption="Total Present Days"/>
    <pivotHierarchy dragToData="1" caption="Distinct Count of Present_Flag"/>
    <pivotHierarchy dragToData="1" caption="Total Absemt Days"/>
    <pivotHierarchy dragToData="1" caption="Total Leave days"/>
    <pivotHierarchy dragToData="1" caption="Total Late Day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4E118C-0F66-4208-85DE-81FACABCFB26}" name="Gross Salary"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6:C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Gross_Salary" fld="0" baseField="0" baseItem="0" numFmtId="165"/>
  </dataFields>
  <formats count="1">
    <format dxfId="12">
      <pivotArea outline="0" collapsedLevelsAreSubtotals="1" fieldPosition="0"/>
    </format>
  </formats>
  <pivotHierarchies count="48">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 Gross_Sala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5D1D79-6729-4421-9628-0CDD75E8A44A}" name="PivotTable13"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87:B94"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Leave_Flag" fld="1" baseField="0" baseItem="0"/>
  </dataFields>
  <formats count="1">
    <format dxfId="13">
      <pivotArea outline="0" collapsedLevelsAreSubtotals="1" fieldPosition="0"/>
    </format>
  </formats>
  <pivotHierarchies count="48">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loyee_ID"/>
    <pivotHierarchy dragToData="1"/>
    <pivotHierarchy dragToData="1"/>
    <pivotHierarchy dragToData="1"/>
    <pivotHierarchy dragToData="1"/>
    <pivotHierarchy dragToData="1"/>
    <pivotHierarchy dragToData="1" caption=" Gross_Salary"/>
    <pivotHierarchy dragToData="1" caption="Net Salary"/>
    <pivotHierarchy dragToData="1" caption="Total  OT_Hours"/>
    <pivotHierarchy dragToData="1" caption="Total  OT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C23D40-BF42-406C-AE16-31E8E4063BFA}" name="PivotTable12"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77:B8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Distinct Count of Employee_ID" fld="1" subtotal="count" baseField="0" baseItem="0">
      <extLst>
        <ext xmlns:x15="http://schemas.microsoft.com/office/spreadsheetml/2010/11/main" uri="{FABC7310-3BB5-11E1-824E-6D434824019B}">
          <x15:dataField isCountDistinct="1"/>
        </ext>
      </extLst>
    </dataField>
  </dataFields>
  <formats count="1">
    <format dxfId="14">
      <pivotArea outline="0" collapsedLevelsAreSubtotals="1" fieldPosition="0"/>
    </format>
  </formats>
  <chartFormats count="3">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Hierarchies count="48">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loyee_ID"/>
    <pivotHierarchy dragToData="1"/>
    <pivotHierarchy dragToData="1"/>
    <pivotHierarchy dragToData="1"/>
    <pivotHierarchy dragToData="1"/>
    <pivotHierarchy dragToData="1"/>
    <pivotHierarchy dragToData="1" caption=" Gross_Salary"/>
    <pivotHierarchy dragToData="1" caption="Net Salary"/>
    <pivotHierarchy dragToData="1" caption="Total  OT_Hours"/>
    <pivotHierarchy dragToData="1" caption="Total  OT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8774657-B8E9-4419-A0AE-7C5A76606C9B}" name="PivotTable9" cacheId="0"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7">
  <location ref="A20:D25"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Fields count="1">
    <field x="-2"/>
  </colFields>
  <colItems count="3">
    <i>
      <x/>
    </i>
    <i i="1">
      <x v="1"/>
    </i>
    <i i="2">
      <x v="2"/>
    </i>
  </colItems>
  <dataFields count="3">
    <dataField name="Sum of Present_Flag" fld="1" baseField="0" baseItem="0"/>
    <dataField name="Sum of Absent_Flag" fld="2" baseField="0" baseItem="0"/>
    <dataField name="Sum of Leave_Flag" fld="3" baseField="0" baseItem="0"/>
  </dataFields>
  <formats count="1">
    <format dxfId="15">
      <pivotArea outline="0" collapsedLevelsAreSubtotals="1" fieldPosition="0"/>
    </format>
  </format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Hierarchies count="48">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loyee_ID"/>
    <pivotHierarchy dragToData="1"/>
    <pivotHierarchy dragToData="1"/>
    <pivotHierarchy dragToData="1"/>
    <pivotHierarchy dragToData="1"/>
    <pivotHierarchy dragToData="1"/>
    <pivotHierarchy dragToData="1" caption=" Gross_Salary"/>
    <pivotHierarchy dragToData="1" caption="Net Salary"/>
    <pivotHierarchy dragToData="1" caption="Total  OT_Hours"/>
    <pivotHierarchy dragToData="1" caption="Total  OT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4" name="[Emp_Data].[Date]">
      <autoFilter ref="A1">
        <filterColumn colId="0">
          <customFilters and="1">
            <customFilter operator="greaterThanOrEqual" val="45778"/>
            <customFilter operator="lessThanOrEqual" val="45808"/>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5E1F7B1-D61A-4248-B4F9-6E16AB657387}" name="PivotTable17" cacheId="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4" rowHeaderCaption="Department">
  <location ref="A122:C12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5">
    <i>
      <x/>
    </i>
    <i>
      <x v="1"/>
    </i>
    <i>
      <x v="2"/>
    </i>
    <i>
      <x v="3"/>
    </i>
    <i>
      <x v="4"/>
    </i>
  </rowItems>
  <colFields count="1">
    <field x="-2"/>
  </colFields>
  <colItems count="2">
    <i>
      <x/>
    </i>
    <i i="1">
      <x v="1"/>
    </i>
  </colItems>
  <dataFields count="2">
    <dataField name="Total OT Amount" fld="1" baseField="0" baseItem="0"/>
    <dataField name="Total OT Hours" fld="2" baseField="0" baseItem="0"/>
  </dataFields>
  <formats count="1">
    <format dxfId="16">
      <pivotArea outline="0" collapsedLevelsAreSubtotals="1" fieldPosition="0"/>
    </format>
  </formats>
  <pivotHierarchies count="48">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loyee_ID"/>
    <pivotHierarchy dragToData="1"/>
    <pivotHierarchy dragToData="1"/>
    <pivotHierarchy dragToData="1"/>
    <pivotHierarchy dragToData="1"/>
    <pivotHierarchy dragToData="1"/>
    <pivotHierarchy dragToData="1" caption=" Gross_Salary"/>
    <pivotHierarchy dragToData="1" caption="Net Salary"/>
    <pivotHierarchy dragToData="1" caption="Total  OT_Hours"/>
    <pivotHierarchy dragToData="1" caption="Total  OT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F6436F3-14C8-41C4-9721-85EEEA19625B}" sourceName="[Emp_Data].[Department]">
  <pivotTables>
    <pivotTable tabId="1" name="PivotTable9"/>
    <pivotTable tabId="1" name="Gross Salary"/>
    <pivotTable tabId="1" name="Net Salary"/>
    <pivotTable tabId="1" name="PivotTable10"/>
    <pivotTable tabId="1" name="PivotTable11"/>
    <pivotTable tabId="1" name="PivotTable12"/>
    <pivotTable tabId="1" name="PivotTable13"/>
    <pivotTable tabId="1" name="PivotTable14"/>
    <pivotTable tabId="1" name="PivotTable15"/>
    <pivotTable tabId="1" name="PivotTable17"/>
    <pivotTable tabId="1" name="PivotTable8"/>
    <pivotTable tabId="1" name="Total Late days"/>
    <pivotTable tabId="1" name="Total OT Hours"/>
    <pivotTable tabId="1" name="PivotTable1"/>
  </pivotTables>
  <data>
    <olap pivotCacheId="586725070">
      <levels count="2">
        <level uniqueName="[Emp_Data].[Department].[(All)]" sourceCaption="(All)" count="0"/>
        <level uniqueName="[Emp_Data].[Department].[Department]" sourceCaption="Department" count="5">
          <ranges>
            <range startItem="0">
              <i n="[Emp_Data].[Department].&amp;[Finance]" c="Finance"/>
              <i n="[Emp_Data].[Department].&amp;[HR]" c="HR"/>
              <i n="[Emp_Data].[Department].&amp;[IT]" c="IT"/>
              <i n="[Emp_Data].[Department].&amp;[Operations]" c="Operations"/>
              <i n="[Emp_Data].[Department].&amp;[Sales]" c="Sales"/>
            </range>
          </ranges>
        </level>
      </levels>
      <selections count="1">
        <selection n="[Emp_Data].[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ID" xr10:uid="{2C0F0E33-A5F8-4A33-B8EE-9675BF72ADDB}" sourceName="[Emp_Data].[Employee_ID]">
  <pivotTables>
    <pivotTable tabId="1" name="PivotTable9"/>
    <pivotTable tabId="1" name="Gross Salary"/>
    <pivotTable tabId="1" name="Net Salary"/>
    <pivotTable tabId="1" name="PivotTable1"/>
    <pivotTable tabId="1" name="PivotTable10"/>
    <pivotTable tabId="1" name="PivotTable11"/>
    <pivotTable tabId="1" name="PivotTable12"/>
    <pivotTable tabId="1" name="PivotTable13"/>
    <pivotTable tabId="1" name="PivotTable14"/>
    <pivotTable tabId="1" name="PivotTable15"/>
    <pivotTable tabId="1" name="PivotTable17"/>
    <pivotTable tabId="1" name="PivotTable8"/>
    <pivotTable tabId="1" name="Total Late days"/>
    <pivotTable tabId="1" name="Total OT Hours"/>
  </pivotTables>
  <data>
    <olap pivotCacheId="586725070">
      <levels count="2">
        <level uniqueName="[Emp_Data].[Employee_ID].[(All)]" sourceCaption="(All)" count="0"/>
        <level uniqueName="[Emp_Data].[Employee_ID].[Employee_ID]" sourceCaption="Employee_ID" count="124">
          <ranges>
            <range startItem="0">
              <i n="[Emp_Data].[Employee_ID].&amp;[EMP001]" c="EMP001"/>
              <i n="[Emp_Data].[Employee_ID].&amp;[EMP002]" c="EMP002"/>
              <i n="[Emp_Data].[Employee_ID].&amp;[EMP003]" c="EMP003"/>
              <i n="[Emp_Data].[Employee_ID].&amp;[EMP004]" c="EMP004"/>
              <i n="[Emp_Data].[Employee_ID].&amp;[EMP005]" c="EMP005"/>
              <i n="[Emp_Data].[Employee_ID].&amp;[EMP006]" c="EMP006"/>
              <i n="[Emp_Data].[Employee_ID].&amp;[EMP007]" c="EMP007"/>
              <i n="[Emp_Data].[Employee_ID].&amp;[EMP008]" c="EMP008"/>
              <i n="[Emp_Data].[Employee_ID].&amp;[EMP009]" c="EMP009"/>
              <i n="[Emp_Data].[Employee_ID].&amp;[EMP010]" c="EMP010"/>
              <i n="[Emp_Data].[Employee_ID].&amp;[EMP011]" c="EMP011"/>
              <i n="[Emp_Data].[Employee_ID].&amp;[EMP012]" c="EMP012"/>
              <i n="[Emp_Data].[Employee_ID].&amp;[EMP013]" c="EMP013"/>
              <i n="[Emp_Data].[Employee_ID].&amp;[EMP014]" c="EMP014"/>
              <i n="[Emp_Data].[Employee_ID].&amp;[EMP015]" c="EMP015"/>
              <i n="[Emp_Data].[Employee_ID].&amp;[EMP016]" c="EMP016"/>
              <i n="[Emp_Data].[Employee_ID].&amp;[EMP017]" c="EMP017"/>
              <i n="[Emp_Data].[Employee_ID].&amp;[EMP018]" c="EMP018"/>
              <i n="[Emp_Data].[Employee_ID].&amp;[EMP019]" c="EMP019"/>
              <i n="[Emp_Data].[Employee_ID].&amp;[EMP020]" c="EMP020"/>
              <i n="[Emp_Data].[Employee_ID].&amp;[EMP021]" c="EMP021"/>
              <i n="[Emp_Data].[Employee_ID].&amp;[EMP022]" c="EMP022"/>
              <i n="[Emp_Data].[Employee_ID].&amp;[EMP023]" c="EMP023"/>
              <i n="[Emp_Data].[Employee_ID].&amp;[EMP024]" c="EMP024"/>
              <i n="[Emp_Data].[Employee_ID].&amp;[EMP025]" c="EMP025"/>
              <i n="[Emp_Data].[Employee_ID].&amp;[EMP026]" c="EMP026"/>
              <i n="[Emp_Data].[Employee_ID].&amp;[EMP027]" c="EMP027"/>
              <i n="[Emp_Data].[Employee_ID].&amp;[EMP028]" c="EMP028"/>
              <i n="[Emp_Data].[Employee_ID].&amp;[EMP029]" c="EMP029"/>
              <i n="[Emp_Data].[Employee_ID].&amp;[EMP030]" c="EMP030"/>
              <i n="[Emp_Data].[Employee_ID].&amp;[EMP031]" c="EMP031"/>
              <i n="[Emp_Data].[Employee_ID].&amp;[EMP032]" c="EMP032"/>
              <i n="[Emp_Data].[Employee_ID].&amp;[EMP033]" c="EMP033"/>
              <i n="[Emp_Data].[Employee_ID].&amp;[EMP034]" c="EMP034"/>
              <i n="[Emp_Data].[Employee_ID].&amp;[EMP035]" c="EMP035"/>
              <i n="[Emp_Data].[Employee_ID].&amp;[EMP036]" c="EMP036"/>
              <i n="[Emp_Data].[Employee_ID].&amp;[EMP037]" c="EMP037"/>
              <i n="[Emp_Data].[Employee_ID].&amp;[EMP038]" c="EMP038"/>
              <i n="[Emp_Data].[Employee_ID].&amp;[EMP039]" c="EMP039"/>
              <i n="[Emp_Data].[Employee_ID].&amp;[EMP040]" c="EMP040"/>
              <i n="[Emp_Data].[Employee_ID].&amp;[EMP041]" c="EMP041"/>
              <i n="[Emp_Data].[Employee_ID].&amp;[EMP042]" c="EMP042"/>
              <i n="[Emp_Data].[Employee_ID].&amp;[EMP043]" c="EMP043"/>
              <i n="[Emp_Data].[Employee_ID].&amp;[EMP044]" c="EMP044"/>
              <i n="[Emp_Data].[Employee_ID].&amp;[EMP045]" c="EMP045"/>
              <i n="[Emp_Data].[Employee_ID].&amp;[EMP046]" c="EMP046"/>
              <i n="[Emp_Data].[Employee_ID].&amp;[EMP047]" c="EMP047"/>
              <i n="[Emp_Data].[Employee_ID].&amp;[EMP048]" c="EMP048"/>
              <i n="[Emp_Data].[Employee_ID].&amp;[EMP049]" c="EMP049"/>
              <i n="[Emp_Data].[Employee_ID].&amp;[EMP050]" c="EMP050"/>
              <i n="[Emp_Data].[Employee_ID].&amp;[EMP051]" c="EMP051"/>
              <i n="[Emp_Data].[Employee_ID].&amp;[EMP052]" c="EMP052"/>
              <i n="[Emp_Data].[Employee_ID].&amp;[EMP053]" c="EMP053"/>
              <i n="[Emp_Data].[Employee_ID].&amp;[EMP054]" c="EMP054"/>
              <i n="[Emp_Data].[Employee_ID].&amp;[EMP055]" c="EMP055"/>
              <i n="[Emp_Data].[Employee_ID].&amp;[EMP056]" c="EMP056"/>
              <i n="[Emp_Data].[Employee_ID].&amp;[EMP057]" c="EMP057"/>
              <i n="[Emp_Data].[Employee_ID].&amp;[EMP058]" c="EMP058"/>
              <i n="[Emp_Data].[Employee_ID].&amp;[EMP059]" c="EMP059"/>
              <i n="[Emp_Data].[Employee_ID].&amp;[EMP060]" c="EMP060"/>
              <i n="[Emp_Data].[Employee_ID].&amp;[EMP061]" c="EMP061"/>
              <i n="[Emp_Data].[Employee_ID].&amp;[EMP062]" c="EMP062"/>
              <i n="[Emp_Data].[Employee_ID].&amp;[EMP063]" c="EMP063"/>
              <i n="[Emp_Data].[Employee_ID].&amp;[EMP064]" c="EMP064"/>
              <i n="[Emp_Data].[Employee_ID].&amp;[EMP065]" c="EMP065"/>
              <i n="[Emp_Data].[Employee_ID].&amp;[EMP066]" c="EMP066"/>
              <i n="[Emp_Data].[Employee_ID].&amp;[EMP067]" c="EMP067"/>
              <i n="[Emp_Data].[Employee_ID].&amp;[EMP068]" c="EMP068"/>
              <i n="[Emp_Data].[Employee_ID].&amp;[EMP069]" c="EMP069"/>
              <i n="[Emp_Data].[Employee_ID].&amp;[EMP070]" c="EMP070"/>
              <i n="[Emp_Data].[Employee_ID].&amp;[EMP071]" c="EMP071"/>
              <i n="[Emp_Data].[Employee_ID].&amp;[EMP072]" c="EMP072"/>
              <i n="[Emp_Data].[Employee_ID].&amp;[EMP073]" c="EMP073"/>
              <i n="[Emp_Data].[Employee_ID].&amp;[EMP074]" c="EMP074"/>
              <i n="[Emp_Data].[Employee_ID].&amp;[EMP075]" c="EMP075"/>
              <i n="[Emp_Data].[Employee_ID].&amp;[EMP076]" c="EMP076"/>
              <i n="[Emp_Data].[Employee_ID].&amp;[EMP077]" c="EMP077"/>
              <i n="[Emp_Data].[Employee_ID].&amp;[EMP078]" c="EMP078"/>
              <i n="[Emp_Data].[Employee_ID].&amp;[EMP079]" c="EMP079"/>
              <i n="[Emp_Data].[Employee_ID].&amp;[EMP080]" c="EMP080"/>
              <i n="[Emp_Data].[Employee_ID].&amp;[EMP081]" c="EMP081"/>
              <i n="[Emp_Data].[Employee_ID].&amp;[EMP082]" c="EMP082"/>
              <i n="[Emp_Data].[Employee_ID].&amp;[EMP083]" c="EMP083"/>
              <i n="[Emp_Data].[Employee_ID].&amp;[EMP084]" c="EMP084"/>
              <i n="[Emp_Data].[Employee_ID].&amp;[EMP085]" c="EMP085"/>
              <i n="[Emp_Data].[Employee_ID].&amp;[EMP086]" c="EMP086"/>
              <i n="[Emp_Data].[Employee_ID].&amp;[EMP087]" c="EMP087"/>
              <i n="[Emp_Data].[Employee_ID].&amp;[EMP088]" c="EMP088"/>
              <i n="[Emp_Data].[Employee_ID].&amp;[EMP089]" c="EMP089"/>
              <i n="[Emp_Data].[Employee_ID].&amp;[EMP090]" c="EMP090"/>
              <i n="[Emp_Data].[Employee_ID].&amp;[EMP091]" c="EMP091"/>
              <i n="[Emp_Data].[Employee_ID].&amp;[EMP092]" c="EMP092"/>
              <i n="[Emp_Data].[Employee_ID].&amp;[EMP093]" c="EMP093"/>
              <i n="[Emp_Data].[Employee_ID].&amp;[EMP094]" c="EMP094"/>
              <i n="[Emp_Data].[Employee_ID].&amp;[EMP095]" c="EMP095"/>
              <i n="[Emp_Data].[Employee_ID].&amp;[EMP096]" c="EMP096"/>
              <i n="[Emp_Data].[Employee_ID].&amp;[EMP097]" c="EMP097"/>
              <i n="[Emp_Data].[Employee_ID].&amp;[EMP098]" c="EMP098"/>
              <i n="[Emp_Data].[Employee_ID].&amp;[EMP099]" c="EMP099"/>
              <i n="[Emp_Data].[Employee_ID].&amp;[EMP100]" c="EMP100"/>
              <i n="[Emp_Data].[Employee_ID].&amp;[EMP101]" c="EMP101"/>
              <i n="[Emp_Data].[Employee_ID].&amp;[EMP102]" c="EMP102"/>
              <i n="[Emp_Data].[Employee_ID].&amp;[EMP103]" c="EMP103"/>
              <i n="[Emp_Data].[Employee_ID].&amp;[EMP104]" c="EMP104"/>
              <i n="[Emp_Data].[Employee_ID].&amp;[EMP105]" c="EMP105"/>
              <i n="[Emp_Data].[Employee_ID].&amp;[EMP106]" c="EMP106"/>
              <i n="[Emp_Data].[Employee_ID].&amp;[EMP107]" c="EMP107"/>
              <i n="[Emp_Data].[Employee_ID].&amp;[EMP108]" c="EMP108"/>
              <i n="[Emp_Data].[Employee_ID].&amp;[EMP109]" c="EMP109"/>
              <i n="[Emp_Data].[Employee_ID].&amp;[EMP110]" c="EMP110"/>
              <i n="[Emp_Data].[Employee_ID].&amp;[EMP111]" c="EMP111"/>
              <i n="[Emp_Data].[Employee_ID].&amp;[EMP112]" c="EMP112"/>
              <i n="[Emp_Data].[Employee_ID].&amp;[EMP113]" c="EMP113"/>
              <i n="[Emp_Data].[Employee_ID].&amp;[EMP114]" c="EMP114"/>
              <i n="[Emp_Data].[Employee_ID].&amp;[EMP115]" c="EMP115"/>
              <i n="[Emp_Data].[Employee_ID].&amp;[EMP116]" c="EMP116"/>
              <i n="[Emp_Data].[Employee_ID].&amp;[EMP117]" c="EMP117"/>
              <i n="[Emp_Data].[Employee_ID].&amp;[EMP118]" c="EMP118"/>
              <i n="[Emp_Data].[Employee_ID].&amp;[EMP119]" c="EMP119"/>
              <i n="[Emp_Data].[Employee_ID].&amp;[EMP120]" c="EMP120"/>
              <i n="[Emp_Data].[Employee_ID].&amp;[EMP121]" c="EMP121"/>
              <i n="[Emp_Data].[Employee_ID].&amp;[EMP122]" c="EMP122"/>
              <i n="[Emp_Data].[Employee_ID].&amp;[EMP123]" c="EMP123"/>
              <i n="[Emp_Data].[Employee_ID].&amp;[EMP124]" c="EMP124"/>
            </range>
          </ranges>
        </level>
      </levels>
      <selections count="1">
        <selection n="[Emp_Data].[Employee_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Type" xr10:uid="{937A62AA-93A6-4B7F-BAD3-64B974001986}" sourceName="[Emp_Data].[Employee_Type]">
  <pivotTables>
    <pivotTable tabId="1" name="PivotTable9"/>
    <pivotTable tabId="1" name="Gross Salary"/>
    <pivotTable tabId="1" name="Net Salary"/>
    <pivotTable tabId="1" name="PivotTable10"/>
    <pivotTable tabId="1" name="PivotTable11"/>
    <pivotTable tabId="1" name="PivotTable12"/>
    <pivotTable tabId="1" name="PivotTable13"/>
    <pivotTable tabId="1" name="PivotTable14"/>
    <pivotTable tabId="1" name="PivotTable15"/>
    <pivotTable tabId="1" name="PivotTable17"/>
    <pivotTable tabId="1" name="PivotTable8"/>
    <pivotTable tabId="1" name="Total Late days"/>
    <pivotTable tabId="1" name="Total OT Hours"/>
    <pivotTable tabId="1" name="PivotTable1"/>
  </pivotTables>
  <data>
    <olap pivotCacheId="586725070">
      <levels count="2">
        <level uniqueName="[Emp_Data].[Employee_Type].[(All)]" sourceCaption="(All)" count="0"/>
        <level uniqueName="[Emp_Data].[Employee_Type].[Employee_Type]" sourceCaption="Employee_Type" count="2">
          <ranges>
            <range startItem="0">
              <i n="[Emp_Data].[Employee_Type].&amp;[Contract]" c="Contract"/>
              <i n="[Emp_Data].[Employee_Type].&amp;[Full Time]" c="Full Time"/>
            </range>
          </ranges>
        </level>
      </levels>
      <selections count="1">
        <selection n="[Emp_Data].[Employee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35BB312E-3141-4011-85B2-B7D4C7F54B3A}" sourceName="[Emp_Data].[Location]">
  <pivotTables>
    <pivotTable tabId="1" name="PivotTable9"/>
    <pivotTable tabId="1" name="Gross Salary"/>
    <pivotTable tabId="1" name="Net Salary"/>
    <pivotTable tabId="1" name="PivotTable10"/>
    <pivotTable tabId="1" name="PivotTable11"/>
    <pivotTable tabId="1" name="PivotTable12"/>
    <pivotTable tabId="1" name="PivotTable13"/>
    <pivotTable tabId="1" name="PivotTable8"/>
    <pivotTable tabId="1" name="Total Late days"/>
    <pivotTable tabId="1" name="Total OT Hours"/>
    <pivotTable tabId="1" name="PivotTable1"/>
  </pivotTables>
  <data>
    <olap pivotCacheId="586725070">
      <levels count="2">
        <level uniqueName="[Emp_Data].[Location].[(All)]" sourceCaption="(All)" count="0"/>
        <level uniqueName="[Emp_Data].[Location].[Location]" sourceCaption="Location" count="4">
          <ranges>
            <range startItem="0">
              <i n="[Emp_Data].[Location].&amp;[Mumbai]" c="Mumbai"/>
              <i n="[Emp_Data].[Location].&amp;[Navi Mumbai]" c="Navi Mumbai"/>
              <i n="[Emp_Data].[Location].&amp;[Pune]" c="Pune"/>
              <i n="[Emp_Data].[Location].&amp;[Thane]" c="Thane"/>
            </range>
          </ranges>
        </level>
      </levels>
      <selections count="1">
        <selection n="[Emp_Data].[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3203315-E566-410B-A674-E384D0527EBF}" cache="Slicer_Department" caption="Department" level="1" style="SlicerStyleLight1 2" rowHeight="247650"/>
  <slicer name="Employee_ID 1" xr10:uid="{4DB04BBD-FF8A-494E-962E-48D2AF5FA584}" cache="Slicer_Employee_ID" caption="Employee_ID" level="1" style="SlicerStyleLight1 2" rowHeight="247650"/>
  <slicer name="Employee_Type 1" xr10:uid="{AF404EE8-728B-4F44-B152-88E7746D4BE6}" cache="Slicer_Employee_Type" caption="Employee_Type" level="1" style="SlicerStyleLight1 2" rowHeight="247650"/>
  <slicer name="Location 1" xr10:uid="{80C0860A-50BE-4AEB-A22A-933F34979E7F}" cache="Slicer_Location" caption="Location" level="1" style="SlicerStyleLight1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1FFDC-62E9-4934-B91A-51C12AA21932}">
  <dimension ref="A1:R127"/>
  <sheetViews>
    <sheetView zoomScaleNormal="100" workbookViewId="0">
      <selection activeCell="B12" sqref="B12"/>
    </sheetView>
  </sheetViews>
  <sheetFormatPr defaultRowHeight="14.4" x14ac:dyDescent="0.3"/>
  <cols>
    <col min="1" max="1" width="13.77734375" bestFit="1" customWidth="1"/>
    <col min="2" max="2" width="14.5546875" bestFit="1" customWidth="1"/>
    <col min="3" max="3" width="16.21875" bestFit="1" customWidth="1"/>
    <col min="4" max="4" width="16.33203125" bestFit="1" customWidth="1"/>
    <col min="5" max="5" width="16.5546875" bestFit="1" customWidth="1"/>
    <col min="6" max="6" width="11.21875" style="5" bestFit="1" customWidth="1"/>
    <col min="7" max="7" width="13.77734375" style="8" bestFit="1" customWidth="1"/>
    <col min="8" max="8" width="11.44140625" style="8" bestFit="1" customWidth="1"/>
    <col min="9" max="9" width="10.109375" style="8" bestFit="1" customWidth="1"/>
    <col min="10" max="10" width="11.21875" style="8" bestFit="1" customWidth="1"/>
    <col min="11" max="11" width="7.44140625" bestFit="1" customWidth="1"/>
    <col min="12" max="19" width="8.77734375" bestFit="1" customWidth="1"/>
    <col min="20" max="20" width="9.77734375" bestFit="1" customWidth="1"/>
    <col min="21" max="21" width="11" bestFit="1" customWidth="1"/>
  </cols>
  <sheetData>
    <row r="1" spans="1:18" x14ac:dyDescent="0.3">
      <c r="L1" s="8"/>
      <c r="M1" s="8"/>
    </row>
    <row r="2" spans="1:18" x14ac:dyDescent="0.3">
      <c r="K2" s="8"/>
      <c r="L2" s="8"/>
      <c r="M2" s="8"/>
      <c r="R2" s="8"/>
    </row>
    <row r="3" spans="1:18" x14ac:dyDescent="0.3">
      <c r="A3" t="s">
        <v>18</v>
      </c>
      <c r="B3" t="s">
        <v>25</v>
      </c>
      <c r="C3" t="s">
        <v>24</v>
      </c>
      <c r="D3" t="s">
        <v>23</v>
      </c>
      <c r="E3" t="s">
        <v>22</v>
      </c>
      <c r="L3" s="8"/>
      <c r="M3" s="8"/>
      <c r="R3" s="8"/>
    </row>
    <row r="4" spans="1:18" x14ac:dyDescent="0.3">
      <c r="A4">
        <v>124</v>
      </c>
      <c r="B4">
        <v>135</v>
      </c>
      <c r="C4">
        <v>2302</v>
      </c>
      <c r="D4">
        <v>128</v>
      </c>
      <c r="E4">
        <v>163</v>
      </c>
      <c r="L4" s="8"/>
      <c r="M4" s="8"/>
      <c r="R4" s="8"/>
    </row>
    <row r="5" spans="1:18" x14ac:dyDescent="0.3">
      <c r="L5" s="8"/>
      <c r="M5" s="8"/>
      <c r="R5" s="8"/>
    </row>
    <row r="6" spans="1:18" x14ac:dyDescent="0.3">
      <c r="A6" s="1" t="s">
        <v>26</v>
      </c>
      <c r="C6" t="s">
        <v>28</v>
      </c>
      <c r="E6" t="s">
        <v>30</v>
      </c>
      <c r="G6" s="8" t="s">
        <v>31</v>
      </c>
      <c r="L6" s="8"/>
      <c r="M6" s="8"/>
      <c r="R6" s="8"/>
    </row>
    <row r="7" spans="1:18" x14ac:dyDescent="0.3">
      <c r="A7" s="2">
        <f>C4/(C4+D4+B4)</f>
        <v>0.89746588693957119</v>
      </c>
      <c r="C7" s="14">
        <v>178239600</v>
      </c>
      <c r="E7" s="14">
        <v>157923392</v>
      </c>
      <c r="G7" s="9">
        <v>25960</v>
      </c>
      <c r="L7" s="8"/>
      <c r="M7" s="8"/>
    </row>
    <row r="8" spans="1:18" x14ac:dyDescent="0.3">
      <c r="L8" s="8"/>
      <c r="M8" s="8"/>
    </row>
    <row r="9" spans="1:18" ht="15.6" x14ac:dyDescent="0.3">
      <c r="A9" s="21" t="s">
        <v>35</v>
      </c>
      <c r="B9" s="21"/>
      <c r="E9" t="s">
        <v>32</v>
      </c>
      <c r="L9" s="8"/>
      <c r="M9" s="8"/>
    </row>
    <row r="10" spans="1:18" x14ac:dyDescent="0.3">
      <c r="A10" s="3" t="s">
        <v>33</v>
      </c>
      <c r="B10" t="s">
        <v>17</v>
      </c>
      <c r="E10" s="14">
        <v>6490000</v>
      </c>
      <c r="L10" s="8"/>
      <c r="M10" s="8"/>
    </row>
    <row r="11" spans="1:18" x14ac:dyDescent="0.3">
      <c r="A11" s="5" t="s">
        <v>15</v>
      </c>
      <c r="B11" s="4">
        <v>17</v>
      </c>
    </row>
    <row r="12" spans="1:18" x14ac:dyDescent="0.3">
      <c r="A12" s="5" t="s">
        <v>9</v>
      </c>
      <c r="B12" s="4">
        <v>17</v>
      </c>
    </row>
    <row r="13" spans="1:18" x14ac:dyDescent="0.3">
      <c r="A13" s="5" t="s">
        <v>14</v>
      </c>
      <c r="B13" s="4">
        <v>25</v>
      </c>
    </row>
    <row r="14" spans="1:18" x14ac:dyDescent="0.3">
      <c r="A14" s="5" t="s">
        <v>1</v>
      </c>
      <c r="B14" s="4">
        <v>29</v>
      </c>
    </row>
    <row r="15" spans="1:18" x14ac:dyDescent="0.3">
      <c r="A15" s="5" t="s">
        <v>5</v>
      </c>
      <c r="B15" s="4">
        <v>36</v>
      </c>
    </row>
    <row r="16" spans="1:18" x14ac:dyDescent="0.3">
      <c r="A16" s="5" t="s">
        <v>34</v>
      </c>
      <c r="B16" s="4">
        <v>124</v>
      </c>
    </row>
    <row r="19" spans="1:4" ht="15.6" x14ac:dyDescent="0.3">
      <c r="A19" s="21" t="s">
        <v>36</v>
      </c>
      <c r="B19" s="21"/>
    </row>
    <row r="20" spans="1:4" x14ac:dyDescent="0.3">
      <c r="A20" s="3" t="s">
        <v>33</v>
      </c>
      <c r="B20" t="s">
        <v>19</v>
      </c>
      <c r="C20" t="s">
        <v>20</v>
      </c>
      <c r="D20" t="s">
        <v>21</v>
      </c>
    </row>
    <row r="21" spans="1:4" x14ac:dyDescent="0.3">
      <c r="A21" s="5" t="s">
        <v>15</v>
      </c>
      <c r="B21" s="4">
        <v>323</v>
      </c>
      <c r="C21" s="4">
        <v>21</v>
      </c>
      <c r="D21" s="4">
        <v>12</v>
      </c>
    </row>
    <row r="22" spans="1:4" x14ac:dyDescent="0.3">
      <c r="A22" s="5" t="s">
        <v>9</v>
      </c>
      <c r="B22" s="4">
        <v>309</v>
      </c>
      <c r="C22" s="4">
        <v>12</v>
      </c>
      <c r="D22" s="4">
        <v>22</v>
      </c>
    </row>
    <row r="23" spans="1:4" x14ac:dyDescent="0.3">
      <c r="A23" s="5" t="s">
        <v>14</v>
      </c>
      <c r="B23" s="4">
        <v>474</v>
      </c>
      <c r="C23" s="4">
        <v>26</v>
      </c>
      <c r="D23" s="4">
        <v>25</v>
      </c>
    </row>
    <row r="24" spans="1:4" x14ac:dyDescent="0.3">
      <c r="A24" s="5" t="s">
        <v>1</v>
      </c>
      <c r="B24" s="4">
        <v>539</v>
      </c>
      <c r="C24" s="4">
        <v>30</v>
      </c>
      <c r="D24" s="4">
        <v>29</v>
      </c>
    </row>
    <row r="25" spans="1:4" x14ac:dyDescent="0.3">
      <c r="A25" s="5" t="s">
        <v>5</v>
      </c>
      <c r="B25" s="4">
        <v>657</v>
      </c>
      <c r="C25" s="4">
        <v>39</v>
      </c>
      <c r="D25" s="4">
        <v>47</v>
      </c>
    </row>
    <row r="31" spans="1:4" ht="15.6" x14ac:dyDescent="0.3">
      <c r="A31" s="21" t="s">
        <v>37</v>
      </c>
      <c r="B31" s="21"/>
    </row>
    <row r="32" spans="1:4" x14ac:dyDescent="0.3">
      <c r="A32" s="3" t="s">
        <v>33</v>
      </c>
      <c r="B32" t="s">
        <v>19</v>
      </c>
    </row>
    <row r="33" spans="1:2" x14ac:dyDescent="0.3">
      <c r="A33" s="6">
        <v>45778</v>
      </c>
      <c r="B33" s="4">
        <v>96</v>
      </c>
    </row>
    <row r="34" spans="1:2" x14ac:dyDescent="0.3">
      <c r="A34" s="6">
        <v>45779</v>
      </c>
      <c r="B34" s="4">
        <v>104</v>
      </c>
    </row>
    <row r="35" spans="1:2" x14ac:dyDescent="0.3">
      <c r="A35" s="6">
        <v>45782</v>
      </c>
      <c r="B35" s="4">
        <v>107</v>
      </c>
    </row>
    <row r="36" spans="1:2" x14ac:dyDescent="0.3">
      <c r="A36" s="6">
        <v>45783</v>
      </c>
      <c r="B36" s="4">
        <v>109</v>
      </c>
    </row>
    <row r="37" spans="1:2" x14ac:dyDescent="0.3">
      <c r="A37" s="6">
        <v>45784</v>
      </c>
      <c r="B37" s="4">
        <v>107</v>
      </c>
    </row>
    <row r="38" spans="1:2" x14ac:dyDescent="0.3">
      <c r="A38" s="6">
        <v>45785</v>
      </c>
      <c r="B38" s="4">
        <v>108</v>
      </c>
    </row>
    <row r="39" spans="1:2" x14ac:dyDescent="0.3">
      <c r="A39" s="6">
        <v>45786</v>
      </c>
      <c r="B39" s="4">
        <v>106</v>
      </c>
    </row>
    <row r="40" spans="1:2" x14ac:dyDescent="0.3">
      <c r="A40" s="6">
        <v>45789</v>
      </c>
      <c r="B40" s="4">
        <v>104</v>
      </c>
    </row>
    <row r="41" spans="1:2" x14ac:dyDescent="0.3">
      <c r="A41" s="6">
        <v>45790</v>
      </c>
      <c r="B41" s="4">
        <v>105</v>
      </c>
    </row>
    <row r="42" spans="1:2" x14ac:dyDescent="0.3">
      <c r="A42" s="6">
        <v>45791</v>
      </c>
      <c r="B42" s="4">
        <v>111</v>
      </c>
    </row>
    <row r="43" spans="1:2" x14ac:dyDescent="0.3">
      <c r="A43" s="6">
        <v>45792</v>
      </c>
      <c r="B43" s="4">
        <v>106</v>
      </c>
    </row>
    <row r="44" spans="1:2" x14ac:dyDescent="0.3">
      <c r="A44" s="6">
        <v>45793</v>
      </c>
      <c r="B44" s="4">
        <v>94</v>
      </c>
    </row>
    <row r="45" spans="1:2" x14ac:dyDescent="0.3">
      <c r="A45" s="6">
        <v>45796</v>
      </c>
      <c r="B45" s="4">
        <v>105</v>
      </c>
    </row>
    <row r="46" spans="1:2" x14ac:dyDescent="0.3">
      <c r="A46" s="6">
        <v>45797</v>
      </c>
      <c r="B46" s="4">
        <v>103</v>
      </c>
    </row>
    <row r="47" spans="1:2" x14ac:dyDescent="0.3">
      <c r="A47" s="6">
        <v>45798</v>
      </c>
      <c r="B47" s="4">
        <v>106</v>
      </c>
    </row>
    <row r="48" spans="1:2" x14ac:dyDescent="0.3">
      <c r="A48" s="6">
        <v>45799</v>
      </c>
      <c r="B48" s="4">
        <v>101</v>
      </c>
    </row>
    <row r="49" spans="1:2" x14ac:dyDescent="0.3">
      <c r="A49" s="6">
        <v>45800</v>
      </c>
      <c r="B49" s="4">
        <v>106</v>
      </c>
    </row>
    <row r="50" spans="1:2" x14ac:dyDescent="0.3">
      <c r="A50" s="6">
        <v>45803</v>
      </c>
      <c r="B50" s="4">
        <v>102</v>
      </c>
    </row>
    <row r="51" spans="1:2" x14ac:dyDescent="0.3">
      <c r="A51" s="6">
        <v>45804</v>
      </c>
      <c r="B51" s="4">
        <v>110</v>
      </c>
    </row>
    <row r="52" spans="1:2" x14ac:dyDescent="0.3">
      <c r="A52" s="6">
        <v>45805</v>
      </c>
      <c r="B52" s="4">
        <v>104</v>
      </c>
    </row>
    <row r="53" spans="1:2" x14ac:dyDescent="0.3">
      <c r="A53" s="6">
        <v>45806</v>
      </c>
      <c r="B53" s="4">
        <v>109</v>
      </c>
    </row>
    <row r="54" spans="1:2" x14ac:dyDescent="0.3">
      <c r="A54" s="6">
        <v>45807</v>
      </c>
      <c r="B54" s="4">
        <v>99</v>
      </c>
    </row>
    <row r="55" spans="1:2" x14ac:dyDescent="0.3">
      <c r="A55" s="5" t="s">
        <v>34</v>
      </c>
      <c r="B55" s="4">
        <v>2302</v>
      </c>
    </row>
    <row r="67" spans="1:10" ht="15.6" x14ac:dyDescent="0.3">
      <c r="A67" s="21" t="s">
        <v>38</v>
      </c>
      <c r="B67" s="21"/>
    </row>
    <row r="68" spans="1:10" x14ac:dyDescent="0.3">
      <c r="A68" s="3" t="s">
        <v>46</v>
      </c>
      <c r="B68" t="s">
        <v>47</v>
      </c>
      <c r="C68" t="s">
        <v>48</v>
      </c>
      <c r="D68" t="s">
        <v>49</v>
      </c>
      <c r="E68" t="s">
        <v>50</v>
      </c>
      <c r="F68" s="17" t="str" cm="1">
        <f t="array" aca="1" ref="F68:J73" ca="1">OFFSET(A68,,,COUNTA(A68:A73),COUNTA(A68:E68))</f>
        <v xml:space="preserve">Location </v>
      </c>
      <c r="G68" s="18" t="str">
        <f ca="1"/>
        <v xml:space="preserve">Present Days </v>
      </c>
      <c r="H68" s="18" t="str">
        <f ca="1"/>
        <v xml:space="preserve"> Absent Days</v>
      </c>
      <c r="I68" s="18" t="str">
        <f ca="1"/>
        <v>Leave Days</v>
      </c>
      <c r="J68" s="18" t="str">
        <f ca="1"/>
        <v>Late Days</v>
      </c>
    </row>
    <row r="69" spans="1:10" x14ac:dyDescent="0.3">
      <c r="A69" s="5" t="s">
        <v>2</v>
      </c>
      <c r="B69" s="4">
        <v>559</v>
      </c>
      <c r="C69" s="4">
        <v>33</v>
      </c>
      <c r="D69" s="4">
        <v>31</v>
      </c>
      <c r="E69" s="4">
        <v>37</v>
      </c>
      <c r="F69" s="19" t="str">
        <f ca="1"/>
        <v>Mumbai</v>
      </c>
      <c r="G69" s="20">
        <f ca="1"/>
        <v>559</v>
      </c>
      <c r="H69" s="20">
        <f ca="1"/>
        <v>33</v>
      </c>
      <c r="I69" s="20">
        <f ca="1"/>
        <v>31</v>
      </c>
      <c r="J69" s="20">
        <f ca="1"/>
        <v>37</v>
      </c>
    </row>
    <row r="70" spans="1:10" x14ac:dyDescent="0.3">
      <c r="A70" s="5" t="s">
        <v>11</v>
      </c>
      <c r="B70" s="4">
        <v>549</v>
      </c>
      <c r="C70" s="4">
        <v>26</v>
      </c>
      <c r="D70" s="4">
        <v>28</v>
      </c>
      <c r="E70" s="4">
        <v>35</v>
      </c>
      <c r="F70" s="19" t="str">
        <f ca="1"/>
        <v>Navi Mumbai</v>
      </c>
      <c r="G70" s="20">
        <f ca="1"/>
        <v>549</v>
      </c>
      <c r="H70" s="20">
        <f ca="1"/>
        <v>26</v>
      </c>
      <c r="I70" s="20">
        <f ca="1"/>
        <v>28</v>
      </c>
      <c r="J70" s="20">
        <f ca="1"/>
        <v>35</v>
      </c>
    </row>
    <row r="71" spans="1:10" x14ac:dyDescent="0.3">
      <c r="A71" s="5" t="s">
        <v>10</v>
      </c>
      <c r="B71" s="4">
        <v>579</v>
      </c>
      <c r="C71" s="4">
        <v>26</v>
      </c>
      <c r="D71" s="4">
        <v>27</v>
      </c>
      <c r="E71" s="4">
        <v>50</v>
      </c>
      <c r="F71" s="19" t="str">
        <f ca="1"/>
        <v>Pune</v>
      </c>
      <c r="G71" s="20">
        <f ca="1"/>
        <v>579</v>
      </c>
      <c r="H71" s="20">
        <f ca="1"/>
        <v>26</v>
      </c>
      <c r="I71" s="20">
        <f ca="1"/>
        <v>27</v>
      </c>
      <c r="J71" s="20">
        <f ca="1"/>
        <v>50</v>
      </c>
    </row>
    <row r="72" spans="1:10" x14ac:dyDescent="0.3">
      <c r="A72" s="5" t="s">
        <v>6</v>
      </c>
      <c r="B72" s="4">
        <v>615</v>
      </c>
      <c r="C72" s="4">
        <v>43</v>
      </c>
      <c r="D72" s="4">
        <v>49</v>
      </c>
      <c r="E72" s="4">
        <v>41</v>
      </c>
      <c r="F72" s="19" t="str">
        <f ca="1"/>
        <v>Thane</v>
      </c>
      <c r="G72" s="20">
        <f ca="1"/>
        <v>615</v>
      </c>
      <c r="H72" s="20">
        <f ca="1"/>
        <v>43</v>
      </c>
      <c r="I72" s="20">
        <f ca="1"/>
        <v>49</v>
      </c>
      <c r="J72" s="20">
        <f ca="1"/>
        <v>41</v>
      </c>
    </row>
    <row r="73" spans="1:10" x14ac:dyDescent="0.3">
      <c r="A73" s="5" t="s">
        <v>34</v>
      </c>
      <c r="B73" s="4">
        <v>2302</v>
      </c>
      <c r="C73" s="4">
        <v>128</v>
      </c>
      <c r="D73" s="4">
        <v>135</v>
      </c>
      <c r="E73" s="4">
        <v>163</v>
      </c>
      <c r="F73" s="19" t="str">
        <f ca="1"/>
        <v>Grand Total</v>
      </c>
      <c r="G73" s="20">
        <f ca="1"/>
        <v>2302</v>
      </c>
      <c r="H73" s="20">
        <f ca="1"/>
        <v>128</v>
      </c>
      <c r="I73" s="20">
        <f ca="1"/>
        <v>135</v>
      </c>
      <c r="J73" s="20">
        <f ca="1"/>
        <v>163</v>
      </c>
    </row>
    <row r="76" spans="1:10" ht="15.6" x14ac:dyDescent="0.3">
      <c r="A76" s="21" t="s">
        <v>39</v>
      </c>
      <c r="B76" s="21"/>
    </row>
    <row r="77" spans="1:10" x14ac:dyDescent="0.3">
      <c r="A77" s="3" t="s">
        <v>33</v>
      </c>
      <c r="B77" t="s">
        <v>17</v>
      </c>
    </row>
    <row r="78" spans="1:10" x14ac:dyDescent="0.3">
      <c r="A78" s="5" t="s">
        <v>3</v>
      </c>
      <c r="B78" s="4">
        <v>24</v>
      </c>
    </row>
    <row r="79" spans="1:10" x14ac:dyDescent="0.3">
      <c r="A79" s="5" t="s">
        <v>7</v>
      </c>
      <c r="B79" s="4">
        <v>100</v>
      </c>
    </row>
    <row r="80" spans="1:10" x14ac:dyDescent="0.3">
      <c r="A80" s="5" t="s">
        <v>34</v>
      </c>
      <c r="B80" s="4">
        <v>124</v>
      </c>
    </row>
    <row r="86" spans="1:4" ht="15.6" x14ac:dyDescent="0.3">
      <c r="A86" s="21" t="s">
        <v>40</v>
      </c>
      <c r="B86" s="21"/>
    </row>
    <row r="87" spans="1:4" x14ac:dyDescent="0.3">
      <c r="A87" s="3" t="s">
        <v>33</v>
      </c>
      <c r="B87" t="s">
        <v>21</v>
      </c>
      <c r="C87" t="str" cm="1">
        <f t="array" aca="1" ref="C87:D92" ca="1">OFFSET(A87,,,COUNTA(A87:A93),COUNTA(A87:B87))</f>
        <v>Row Labels</v>
      </c>
      <c r="D87" t="str">
        <f ca="1"/>
        <v>Sum of Leave_Flag</v>
      </c>
    </row>
    <row r="88" spans="1:4" x14ac:dyDescent="0.3">
      <c r="A88" s="5"/>
      <c r="B88" s="4">
        <v>0</v>
      </c>
      <c r="C88">
        <f ca="1"/>
        <v>0</v>
      </c>
      <c r="D88">
        <f ca="1"/>
        <v>0</v>
      </c>
    </row>
    <row r="89" spans="1:4" x14ac:dyDescent="0.3">
      <c r="A89" s="5" t="s">
        <v>8</v>
      </c>
      <c r="B89" s="4">
        <v>46</v>
      </c>
      <c r="C89" t="str">
        <f ca="1"/>
        <v>Casual Leave</v>
      </c>
      <c r="D89">
        <f ca="1"/>
        <v>46</v>
      </c>
    </row>
    <row r="90" spans="1:4" x14ac:dyDescent="0.3">
      <c r="A90" s="5" t="s">
        <v>4</v>
      </c>
      <c r="B90" s="4">
        <v>31</v>
      </c>
      <c r="C90" t="str">
        <f ca="1"/>
        <v>Earned Leave</v>
      </c>
      <c r="D90">
        <f ca="1"/>
        <v>31</v>
      </c>
    </row>
    <row r="91" spans="1:4" x14ac:dyDescent="0.3">
      <c r="A91" s="5" t="s">
        <v>13</v>
      </c>
      <c r="B91" s="4">
        <v>5</v>
      </c>
      <c r="C91" t="str">
        <f ca="1"/>
        <v>Maternity Leave</v>
      </c>
      <c r="D91">
        <f ca="1"/>
        <v>5</v>
      </c>
    </row>
    <row r="92" spans="1:4" x14ac:dyDescent="0.3">
      <c r="A92" s="5" t="s">
        <v>16</v>
      </c>
      <c r="B92" s="4">
        <v>9</v>
      </c>
      <c r="C92" t="str">
        <f ca="1"/>
        <v>Other</v>
      </c>
      <c r="D92">
        <f ca="1"/>
        <v>9</v>
      </c>
    </row>
    <row r="93" spans="1:4" x14ac:dyDescent="0.3">
      <c r="A93" s="5" t="s">
        <v>12</v>
      </c>
      <c r="B93" s="4">
        <v>44</v>
      </c>
    </row>
    <row r="94" spans="1:4" x14ac:dyDescent="0.3">
      <c r="A94" s="5" t="s">
        <v>34</v>
      </c>
      <c r="B94" s="4">
        <v>135</v>
      </c>
    </row>
    <row r="98" spans="1:2" ht="15.6" x14ac:dyDescent="0.3">
      <c r="A98" s="21" t="s">
        <v>41</v>
      </c>
      <c r="B98" s="21"/>
    </row>
    <row r="99" spans="1:2" x14ac:dyDescent="0.3">
      <c r="A99" s="3" t="s">
        <v>33</v>
      </c>
      <c r="B99" s="14" t="s">
        <v>27</v>
      </c>
    </row>
    <row r="100" spans="1:2" x14ac:dyDescent="0.3">
      <c r="A100" s="5" t="s">
        <v>15</v>
      </c>
      <c r="B100" s="14">
        <v>27858600</v>
      </c>
    </row>
    <row r="101" spans="1:2" x14ac:dyDescent="0.3">
      <c r="A101" s="5" t="s">
        <v>9</v>
      </c>
      <c r="B101" s="14">
        <v>26087600</v>
      </c>
    </row>
    <row r="102" spans="1:2" x14ac:dyDescent="0.3">
      <c r="A102" s="5" t="s">
        <v>14</v>
      </c>
      <c r="B102" s="14">
        <v>47484800</v>
      </c>
    </row>
    <row r="103" spans="1:2" x14ac:dyDescent="0.3">
      <c r="A103" s="5" t="s">
        <v>1</v>
      </c>
      <c r="B103" s="14">
        <v>32828400</v>
      </c>
    </row>
    <row r="104" spans="1:2" x14ac:dyDescent="0.3">
      <c r="A104" s="5" t="s">
        <v>5</v>
      </c>
      <c r="B104" s="14">
        <v>43980200</v>
      </c>
    </row>
    <row r="105" spans="1:2" x14ac:dyDescent="0.3">
      <c r="A105" s="5" t="s">
        <v>34</v>
      </c>
      <c r="B105" s="14">
        <v>178239600</v>
      </c>
    </row>
    <row r="109" spans="1:2" ht="15.6" x14ac:dyDescent="0.3">
      <c r="A109" s="21" t="s">
        <v>42</v>
      </c>
      <c r="B109" s="21"/>
    </row>
    <row r="110" spans="1:2" x14ac:dyDescent="0.3">
      <c r="A110" s="3" t="s">
        <v>33</v>
      </c>
      <c r="B110" t="s">
        <v>29</v>
      </c>
    </row>
    <row r="111" spans="1:2" x14ac:dyDescent="0.3">
      <c r="A111" s="5" t="s">
        <v>15</v>
      </c>
      <c r="B111" s="14">
        <v>24489850</v>
      </c>
    </row>
    <row r="112" spans="1:2" x14ac:dyDescent="0.3">
      <c r="A112" s="5" t="s">
        <v>9</v>
      </c>
      <c r="B112" s="14">
        <v>23056088</v>
      </c>
    </row>
    <row r="113" spans="1:7" x14ac:dyDescent="0.3">
      <c r="A113" s="5" t="s">
        <v>14</v>
      </c>
      <c r="B113" s="14">
        <v>41681134</v>
      </c>
    </row>
    <row r="114" spans="1:7" x14ac:dyDescent="0.3">
      <c r="A114" s="5" t="s">
        <v>1</v>
      </c>
      <c r="B114" s="14">
        <v>29398864</v>
      </c>
    </row>
    <row r="115" spans="1:7" x14ac:dyDescent="0.3">
      <c r="A115" s="5" t="s">
        <v>5</v>
      </c>
      <c r="B115" s="14">
        <v>39297456</v>
      </c>
    </row>
    <row r="116" spans="1:7" x14ac:dyDescent="0.3">
      <c r="A116" s="5" t="s">
        <v>34</v>
      </c>
      <c r="B116" s="14">
        <v>157923392</v>
      </c>
    </row>
    <row r="121" spans="1:7" ht="15.6" x14ac:dyDescent="0.3">
      <c r="A121" s="21" t="s">
        <v>43</v>
      </c>
      <c r="B121" s="21"/>
    </row>
    <row r="122" spans="1:7" x14ac:dyDescent="0.3">
      <c r="A122" s="3" t="s">
        <v>0</v>
      </c>
      <c r="B122" t="s">
        <v>44</v>
      </c>
      <c r="C122" t="s">
        <v>45</v>
      </c>
      <c r="E122" s="10" t="str" cm="1">
        <f t="array" aca="1" ref="E122:G127" ca="1">OFFSET(A122,,,COUNTA(A122:A127),COUNTA(A122:C122))</f>
        <v>Department</v>
      </c>
      <c r="F122" s="15" t="str">
        <f ca="1"/>
        <v>Total OT Amount</v>
      </c>
      <c r="G122" s="11" t="str">
        <f ca="1"/>
        <v>Total OT Hours</v>
      </c>
    </row>
    <row r="123" spans="1:7" x14ac:dyDescent="0.3">
      <c r="A123" s="5" t="s">
        <v>15</v>
      </c>
      <c r="B123" s="4">
        <v>1012000</v>
      </c>
      <c r="C123" s="4">
        <v>4048</v>
      </c>
      <c r="E123" s="12" t="str">
        <f ca="1"/>
        <v>Finance</v>
      </c>
      <c r="F123" s="16">
        <f ca="1"/>
        <v>1012000</v>
      </c>
      <c r="G123" s="13">
        <f ca="1"/>
        <v>4048</v>
      </c>
    </row>
    <row r="124" spans="1:7" x14ac:dyDescent="0.3">
      <c r="A124" s="5" t="s">
        <v>9</v>
      </c>
      <c r="B124" s="4">
        <v>1089000</v>
      </c>
      <c r="C124" s="4">
        <v>4356</v>
      </c>
      <c r="E124" s="12" t="str">
        <f ca="1"/>
        <v>HR</v>
      </c>
      <c r="F124" s="16">
        <f ca="1"/>
        <v>1089000</v>
      </c>
      <c r="G124" s="13">
        <f ca="1"/>
        <v>4356</v>
      </c>
    </row>
    <row r="125" spans="1:7" x14ac:dyDescent="0.3">
      <c r="A125" s="5" t="s">
        <v>14</v>
      </c>
      <c r="B125" s="4">
        <v>1155000</v>
      </c>
      <c r="C125" s="4">
        <v>4620</v>
      </c>
      <c r="E125" s="12" t="str">
        <f ca="1"/>
        <v>IT</v>
      </c>
      <c r="F125" s="16">
        <f ca="1"/>
        <v>1155000</v>
      </c>
      <c r="G125" s="13">
        <f ca="1"/>
        <v>4620</v>
      </c>
    </row>
    <row r="126" spans="1:7" x14ac:dyDescent="0.3">
      <c r="A126" s="5" t="s">
        <v>1</v>
      </c>
      <c r="B126" s="4">
        <v>1309000</v>
      </c>
      <c r="C126" s="4">
        <v>5236</v>
      </c>
      <c r="E126" s="12" t="str">
        <f ca="1"/>
        <v>Operations</v>
      </c>
      <c r="F126" s="16">
        <f ca="1"/>
        <v>1309000</v>
      </c>
      <c r="G126" s="13">
        <f ca="1"/>
        <v>5236</v>
      </c>
    </row>
    <row r="127" spans="1:7" x14ac:dyDescent="0.3">
      <c r="A127" s="5" t="s">
        <v>5</v>
      </c>
      <c r="B127" s="4">
        <v>1925000</v>
      </c>
      <c r="C127" s="4">
        <v>7700</v>
      </c>
      <c r="E127" s="12" t="str">
        <f ca="1"/>
        <v>Sales</v>
      </c>
      <c r="F127" s="16">
        <f ca="1"/>
        <v>1925000</v>
      </c>
      <c r="G127" s="13">
        <f ca="1"/>
        <v>7700</v>
      </c>
    </row>
  </sheetData>
  <autoFilter ref="A31:B55" xr:uid="{52C1FFDC-62E9-4934-B91A-51C12AA21932}">
    <filterColumn colId="0" showButton="0"/>
  </autoFilter>
  <mergeCells count="9">
    <mergeCell ref="A98:B98"/>
    <mergeCell ref="A109:B109"/>
    <mergeCell ref="A121:B121"/>
    <mergeCell ref="A9:B9"/>
    <mergeCell ref="A19:B19"/>
    <mergeCell ref="A31:B31"/>
    <mergeCell ref="A67:B67"/>
    <mergeCell ref="A76:B76"/>
    <mergeCell ref="A86:B86"/>
  </mergeCells>
  <pageMargins left="0.7" right="0.7" top="0.75" bottom="0.75" header="0.3" footer="0.3"/>
  <pageSetup orientation="portrait" r:id="rId1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BA29-F7A9-48A7-B5A9-C5F5B63A4C14}">
  <dimension ref="A1"/>
  <sheetViews>
    <sheetView showGridLines="0" tabSelected="1" zoomScale="80" zoomScaleNormal="80" workbookViewId="0">
      <selection activeCell="AB22" sqref="AB22"/>
    </sheetView>
  </sheetViews>
  <sheetFormatPr defaultRowHeight="14.4" x14ac:dyDescent="0.3"/>
  <cols>
    <col min="1" max="4" width="8.88671875" style="7"/>
    <col min="5" max="6" width="8.88671875" style="7" customWidth="1"/>
    <col min="7" max="21" width="8.88671875" style="7"/>
    <col min="22" max="22" width="11.21875" style="7" bestFit="1" customWidth="1"/>
    <col min="23" max="23" width="7.44140625" style="7" bestFit="1" customWidth="1"/>
    <col min="24" max="16384" width="8.88671875" style="7"/>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458623-E242-494C-AEF7-34CC34977A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SUBHASH JADHAV</dc:creator>
  <cp:lastModifiedBy>SUBHASH JADHAV</cp:lastModifiedBy>
  <dcterms:created xsi:type="dcterms:W3CDTF">2026-09-09T20:20:35Z</dcterms:created>
  <dcterms:modified xsi:type="dcterms:W3CDTF">2026-09-18T22:54:12Z</dcterms:modified>
</cp:coreProperties>
</file>